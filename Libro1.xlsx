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demedellin-my.sharepoint.com/personal/bmanrique_udemedellin_edu_co/Documents/Documents/Documentos Bell/UdeM/2026-1/"/>
    </mc:Choice>
  </mc:AlternateContent>
  <xr:revisionPtr revIDLastSave="0" documentId="8_{BCB60421-1D16-45EF-8D94-5959A49B2C68}" xr6:coauthVersionLast="47" xr6:coauthVersionMax="47" xr10:uidLastSave="{00000000-0000-0000-0000-000000000000}"/>
  <bookViews>
    <workbookView xWindow="-108" yWindow="-108" windowWidth="23256" windowHeight="12456" xr2:uid="{61F7ADD1-6607-45DD-B0E6-D43675193C6D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1" i="1" l="1"/>
  <c r="A9" i="1" a="1"/>
  <c r="J10" i="1" s="1"/>
  <c r="A9" i="1" l="1"/>
  <c r="J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<sst xmlns="http://schemas.openxmlformats.org/spreadsheetml/2006/main" count="15" uniqueCount="15">
  <si>
    <t>EVALUACIÓN DOCENTE 2025-2</t>
  </si>
  <si>
    <t>FACULTAD DE INGENIERÍA</t>
  </si>
  <si>
    <t>Promedios evaluación y resultados preguntas inclusión</t>
  </si>
  <si>
    <t xml:space="preserve">Seleccionar al docente en el campo resaltado </t>
  </si>
  <si>
    <t>DIEGO ALEJANDRO MARÍN ÁLVAREZ</t>
  </si>
  <si>
    <t>FACULTAD</t>
  </si>
  <si>
    <t>ASIGNATURA</t>
  </si>
  <si>
    <t>GRUPO</t>
  </si>
  <si>
    <t>ESTUDIANTES</t>
  </si>
  <si>
    <t>ESTUDIANTES EVALUADORES</t>
  </si>
  <si>
    <t>SABER ESPECÍFICO</t>
  </si>
  <si>
    <t>METODLOGÍA</t>
  </si>
  <si>
    <t>EVALUACIÓN</t>
  </si>
  <si>
    <t>RELACIÓN CON LOS ESTUDIANTES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</si>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</sst>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b/>
      <sz val="16"/>
      <color theme="0"/>
      <name val="Aptos Narrow"/>
      <family val="2"/>
    </font>
    <font>
      <b/>
      <i/>
      <sz val="14"/>
      <color rgb="FFFF0000"/>
      <name val="Aptos Narrow"/>
      <family val="2"/>
    </font>
    <font>
      <sz val="11"/>
      <color theme="1"/>
      <name val="Aptos Narrow"/>
      <family val="2"/>
    </font>
    <font>
      <sz val="11"/>
      <color rgb="FFFF0000"/>
      <name val="Aptos Narrow"/>
      <family val="2"/>
    </font>
    <font>
      <b/>
      <sz val="11"/>
      <color theme="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3" borderId="0" xfId="0" applyFont="1" applyFill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1" fontId="3" fillId="0" borderId="0" xfId="0" applyNumberFormat="1" applyFont="1" applyAlignment="1">
      <alignment horizontal="left" vertical="center"/>
    </xf>
    <xf numFmtId="164" fontId="3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demedellin-my.sharepoint.com/personal/bmanrique_udemedellin_edu_co/Documents/Documents/Documentos%20Bell/UdeM/2026-1/Evaluaci&#243;n%20docente%2020252%20Ing.xlsx" TargetMode="External"/><Relationship Id="rId1" Type="http://schemas.openxmlformats.org/officeDocument/2006/relationships/externalLinkPath" Target="Evaluaci&#243;n%20docente%2020252%20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a profes"/>
      <sheetName val="Encuesta"/>
      <sheetName val="Consolidado cualitativo"/>
      <sheetName val="Promedios"/>
      <sheetName val="Visualización"/>
      <sheetName val="Fortalezas"/>
      <sheetName val="Aspectos a mejorar"/>
    </sheetNames>
    <sheetDataSet>
      <sheetData sheetId="0"/>
      <sheetData sheetId="1"/>
      <sheetData sheetId="2"/>
      <sheetData sheetId="3">
        <row r="1">
          <cell r="C1" t="str">
            <v>PROFESOR</v>
          </cell>
          <cell r="D1" t="str">
            <v>FACULTAD</v>
          </cell>
          <cell r="E1" t="str">
            <v>NOMBREASIGNATURA</v>
          </cell>
          <cell r="F1" t="str">
            <v>GRUPO</v>
          </cell>
          <cell r="G1" t="str">
            <v>MATRICULADOS</v>
          </cell>
          <cell r="H1" t="str">
            <v>Evaluadores</v>
          </cell>
          <cell r="I1" t="str">
            <v>Saber Específico</v>
          </cell>
          <cell r="J1" t="str">
            <v>Metodología</v>
          </cell>
          <cell r="K1" t="str">
            <v>Evaluación</v>
          </cell>
          <cell r="L1" t="str">
            <v>Relación con los estudiantes</v>
          </cell>
        </row>
        <row r="2">
          <cell r="C2" t="str">
            <v>NATALIA GOMEZ VELÁSQUEZ</v>
          </cell>
          <cell r="D2" t="str">
            <v>FACULTAD DE INGENIERÍAS</v>
          </cell>
          <cell r="E2" t="str">
            <v>EXPRESIÓN GRÁFICA</v>
          </cell>
          <cell r="F2" t="str">
            <v>406</v>
          </cell>
          <cell r="G2">
            <v>16</v>
          </cell>
          <cell r="H2">
            <v>1</v>
          </cell>
          <cell r="I2">
            <v>5</v>
          </cell>
          <cell r="J2">
            <v>5</v>
          </cell>
          <cell r="K2">
            <v>4.25</v>
          </cell>
          <cell r="L2">
            <v>5</v>
          </cell>
        </row>
        <row r="3">
          <cell r="C3" t="str">
            <v>MARIO ALEJANDRO SALDARRIAGA ÁLVAREZ</v>
          </cell>
          <cell r="D3" t="str">
            <v>FACULTAD DE INGENIERÍAS</v>
          </cell>
          <cell r="E3" t="str">
            <v>PENSAMIENTO ALGORÍTMICO</v>
          </cell>
          <cell r="F3" t="str">
            <v>404</v>
          </cell>
          <cell r="G3">
            <v>11</v>
          </cell>
          <cell r="H3">
            <v>3</v>
          </cell>
          <cell r="I3">
            <v>5</v>
          </cell>
          <cell r="J3">
            <v>5</v>
          </cell>
          <cell r="K3">
            <v>5</v>
          </cell>
          <cell r="L3">
            <v>5</v>
          </cell>
        </row>
        <row r="4">
          <cell r="C4" t="str">
            <v>NÉSTOR VÉLEZ VARGAS</v>
          </cell>
          <cell r="D4" t="str">
            <v>FACULTAD DE INGENIERÍAS</v>
          </cell>
          <cell r="E4" t="str">
            <v>PENSAMIENTO ALGORÍTMICO</v>
          </cell>
          <cell r="F4" t="str">
            <v>405</v>
          </cell>
          <cell r="G4">
            <v>17</v>
          </cell>
          <cell r="H4">
            <v>1</v>
          </cell>
          <cell r="I4">
            <v>4</v>
          </cell>
          <cell r="J4">
            <v>3.8571428571428572</v>
          </cell>
          <cell r="K4">
            <v>4.75</v>
          </cell>
          <cell r="L4">
            <v>5</v>
          </cell>
        </row>
        <row r="5">
          <cell r="C5" t="str">
            <v>LUZ MARCELA RESTREPO TAMAYO</v>
          </cell>
          <cell r="D5" t="str">
            <v>FACULTAD DE INGENIERÍAS</v>
          </cell>
          <cell r="E5" t="str">
            <v>ESTADÍSTICA PARA INGENIERÍA</v>
          </cell>
          <cell r="F5" t="str">
            <v>405</v>
          </cell>
          <cell r="G5">
            <v>16</v>
          </cell>
          <cell r="H5">
            <v>11</v>
          </cell>
          <cell r="I5">
            <v>5</v>
          </cell>
          <cell r="J5">
            <v>5</v>
          </cell>
          <cell r="K5">
            <v>5</v>
          </cell>
          <cell r="L5">
            <v>5</v>
          </cell>
        </row>
        <row r="6">
          <cell r="C6" t="str">
            <v>EMILCY JULIANA HERNÁNDEZ LEAL</v>
          </cell>
          <cell r="D6" t="str">
            <v>FACULTAD DE INGENIERÍAS</v>
          </cell>
          <cell r="E6" t="str">
            <v>PENSAMIENTO INGENIERÍL</v>
          </cell>
          <cell r="F6" t="str">
            <v>409</v>
          </cell>
          <cell r="G6">
            <v>17</v>
          </cell>
          <cell r="H6">
            <v>3</v>
          </cell>
          <cell r="I6">
            <v>4.5555555555555562</v>
          </cell>
          <cell r="J6">
            <v>4.5238095238095237</v>
          </cell>
          <cell r="K6">
            <v>4.666666666666667</v>
          </cell>
          <cell r="L6">
            <v>4.666666666666667</v>
          </cell>
        </row>
        <row r="7">
          <cell r="C7" t="str">
            <v>EMILCY JULIANA HERNÁNDEZ LEAL</v>
          </cell>
          <cell r="D7" t="str">
            <v>FACULTAD DE INGENIERÍAS</v>
          </cell>
          <cell r="E7" t="str">
            <v>PROYECTO DE INGENIERÍA I</v>
          </cell>
          <cell r="F7" t="str">
            <v>403</v>
          </cell>
          <cell r="G7">
            <v>20</v>
          </cell>
          <cell r="H7">
            <v>9</v>
          </cell>
          <cell r="I7">
            <v>4.666666666666667</v>
          </cell>
          <cell r="J7">
            <v>4.5555555555555554</v>
          </cell>
          <cell r="K7">
            <v>4.583333333333333</v>
          </cell>
          <cell r="L7">
            <v>4.7037037037037033</v>
          </cell>
        </row>
        <row r="8">
          <cell r="C8" t="str">
            <v>CARLOS ERNESTO ARRIETA GONZÁLEZ</v>
          </cell>
          <cell r="D8" t="str">
            <v>FACULTAD DE INGENIERÍAS</v>
          </cell>
          <cell r="E8" t="str">
            <v>EXPRESIÓN GRÁFICA</v>
          </cell>
          <cell r="F8" t="str">
            <v>401</v>
          </cell>
          <cell r="G8">
            <v>15</v>
          </cell>
          <cell r="H8">
            <v>4</v>
          </cell>
          <cell r="I8">
            <v>5</v>
          </cell>
          <cell r="J8">
            <v>5</v>
          </cell>
          <cell r="K8">
            <v>5</v>
          </cell>
          <cell r="L8">
            <v>5</v>
          </cell>
        </row>
        <row r="9">
          <cell r="C9" t="str">
            <v>CARLOS ERNESTO ARRIETA GONZÁLEZ</v>
          </cell>
          <cell r="D9" t="str">
            <v>FACULTAD DE INGENIERÍAS</v>
          </cell>
          <cell r="E9" t="str">
            <v>EXPRESIÓN GRÁFICA</v>
          </cell>
          <cell r="F9" t="str">
            <v>402</v>
          </cell>
          <cell r="G9">
            <v>16</v>
          </cell>
          <cell r="H9">
            <v>3</v>
          </cell>
          <cell r="I9">
            <v>4.666666666666667</v>
          </cell>
          <cell r="J9">
            <v>4.666666666666667</v>
          </cell>
          <cell r="K9">
            <v>4.666666666666667</v>
          </cell>
          <cell r="L9">
            <v>4.666666666666667</v>
          </cell>
        </row>
        <row r="10">
          <cell r="C10" t="str">
            <v>ESTEBAN VANEGAS TRUJILLO</v>
          </cell>
          <cell r="D10" t="str">
            <v>FACULTAD DE INGENIERÍAS</v>
          </cell>
          <cell r="E10" t="str">
            <v>EXPRESIÓN GRÁFICA</v>
          </cell>
          <cell r="F10" t="str">
            <v>403</v>
          </cell>
          <cell r="G10">
            <v>14</v>
          </cell>
          <cell r="H10">
            <v>3</v>
          </cell>
          <cell r="I10">
            <v>4.4444444444444438</v>
          </cell>
          <cell r="J10">
            <v>4.3809523809523805</v>
          </cell>
          <cell r="K10">
            <v>4.4166666666666661</v>
          </cell>
          <cell r="L10">
            <v>4.666666666666667</v>
          </cell>
        </row>
        <row r="11">
          <cell r="C11" t="str">
            <v>ESTEBAN VANEGAS TRUJILLO</v>
          </cell>
          <cell r="D11" t="str">
            <v>FACULTAD DE INGENIERÍAS</v>
          </cell>
          <cell r="E11" t="str">
            <v>EXPRESIÓN GRÁFICA</v>
          </cell>
          <cell r="F11" t="str">
            <v>405</v>
          </cell>
          <cell r="G11">
            <v>17</v>
          </cell>
          <cell r="H11">
            <v>5</v>
          </cell>
          <cell r="I11">
            <v>4.5999999999999996</v>
          </cell>
          <cell r="J11">
            <v>4.4000000000000004</v>
          </cell>
          <cell r="K11">
            <v>4.4000000000000004</v>
          </cell>
          <cell r="L11">
            <v>4.4000000000000004</v>
          </cell>
        </row>
        <row r="12">
          <cell r="C12" t="str">
            <v>DIANA SIRLEY GUZMÁN AGUILAR</v>
          </cell>
          <cell r="D12" t="str">
            <v>FACULTAD DE INGENIERÍAS</v>
          </cell>
          <cell r="E12" t="str">
            <v>ESTADÍSTICA PARA INGENIERÍA</v>
          </cell>
          <cell r="F12" t="str">
            <v>401</v>
          </cell>
          <cell r="G12">
            <v>24</v>
          </cell>
          <cell r="H12">
            <v>13</v>
          </cell>
          <cell r="I12">
            <v>4.7948717948717956</v>
          </cell>
          <cell r="J12">
            <v>4.7252747252747254</v>
          </cell>
          <cell r="K12">
            <v>4.7115384615384617</v>
          </cell>
          <cell r="L12">
            <v>4.7692307692307692</v>
          </cell>
        </row>
        <row r="13">
          <cell r="C13" t="str">
            <v>DIANA SIRLEY GUZMÁN AGUILAR</v>
          </cell>
          <cell r="D13" t="str">
            <v>FACULTAD DE INGENIERÍAS</v>
          </cell>
          <cell r="E13" t="str">
            <v>ESTADÍSTICA PARA INGENIERÍA</v>
          </cell>
          <cell r="F13" t="str">
            <v>402</v>
          </cell>
          <cell r="G13">
            <v>23</v>
          </cell>
          <cell r="H13">
            <v>9</v>
          </cell>
          <cell r="I13">
            <v>4.8148148148148149</v>
          </cell>
          <cell r="J13">
            <v>4.8095238095238102</v>
          </cell>
          <cell r="K13">
            <v>4.7222222222222223</v>
          </cell>
          <cell r="L13">
            <v>4.9629629629629628</v>
          </cell>
        </row>
        <row r="14">
          <cell r="C14" t="str">
            <v>ÁNGELA MARÍA GÓMEZ RESTREPO</v>
          </cell>
          <cell r="D14" t="str">
            <v>FACULTAD DE INGENIERÍAS</v>
          </cell>
          <cell r="E14" t="str">
            <v>FORMULACIÓN Y EVALUACIÓN DE PROYECTOS</v>
          </cell>
          <cell r="F14" t="str">
            <v>405</v>
          </cell>
          <cell r="G14">
            <v>11</v>
          </cell>
          <cell r="H14">
            <v>1</v>
          </cell>
          <cell r="I14">
            <v>4</v>
          </cell>
          <cell r="J14">
            <v>4</v>
          </cell>
          <cell r="K14">
            <v>4</v>
          </cell>
          <cell r="L14">
            <v>4</v>
          </cell>
        </row>
        <row r="15">
          <cell r="C15" t="str">
            <v>BELL MANRIQUE LOSADA</v>
          </cell>
          <cell r="D15" t="str">
            <v>FACULTAD DE INGENIERÍAS</v>
          </cell>
          <cell r="E15" t="str">
            <v>PROYECTO DE INGENIERÍA I</v>
          </cell>
          <cell r="F15" t="str">
            <v>401</v>
          </cell>
          <cell r="G15">
            <v>22</v>
          </cell>
          <cell r="H15">
            <v>10</v>
          </cell>
          <cell r="I15">
            <v>4.5</v>
          </cell>
          <cell r="J15">
            <v>4.6000000000000005</v>
          </cell>
          <cell r="K15">
            <v>4.6500000000000004</v>
          </cell>
          <cell r="L15">
            <v>4.666666666666667</v>
          </cell>
        </row>
        <row r="16">
          <cell r="C16" t="str">
            <v>BELL MANRIQUE LOSADA</v>
          </cell>
          <cell r="D16" t="str">
            <v>FACULTAD DE INGENIERÍAS</v>
          </cell>
          <cell r="E16" t="str">
            <v>PROYECTO DE INGENIERÍA I</v>
          </cell>
          <cell r="F16" t="str">
            <v>404</v>
          </cell>
          <cell r="G16">
            <v>13</v>
          </cell>
          <cell r="H16">
            <v>1</v>
          </cell>
          <cell r="I16">
            <v>4.666666666666667</v>
          </cell>
          <cell r="J16">
            <v>4.5714285714285712</v>
          </cell>
          <cell r="K16">
            <v>4.75</v>
          </cell>
          <cell r="L16">
            <v>4.666666666666667</v>
          </cell>
        </row>
        <row r="17">
          <cell r="C17" t="str">
            <v>DUBY SULAY CASTELLANOS CÁRDENAS</v>
          </cell>
          <cell r="D17" t="str">
            <v>FACULTAD DE INGENIERÍAS</v>
          </cell>
          <cell r="E17" t="str">
            <v>PENSAMIENTO INGENIERÍL</v>
          </cell>
          <cell r="F17" t="str">
            <v>403</v>
          </cell>
          <cell r="G17">
            <v>14</v>
          </cell>
          <cell r="H17">
            <v>2</v>
          </cell>
          <cell r="I17">
            <v>4.666666666666667</v>
          </cell>
          <cell r="J17">
            <v>4.3571428571428568</v>
          </cell>
          <cell r="K17">
            <v>4.375</v>
          </cell>
          <cell r="L17">
            <v>4.5</v>
          </cell>
        </row>
        <row r="18">
          <cell r="C18" t="str">
            <v>DUBY SULAY CASTELLANOS CÁRDENAS</v>
          </cell>
          <cell r="D18" t="str">
            <v>FACULTAD DE INGENIERÍAS</v>
          </cell>
          <cell r="E18" t="str">
            <v>PENSAMIENTO INGENIERÍL</v>
          </cell>
          <cell r="F18" t="str">
            <v>405</v>
          </cell>
          <cell r="G18">
            <v>10</v>
          </cell>
          <cell r="H18">
            <v>2</v>
          </cell>
          <cell r="I18">
            <v>4.666666666666667</v>
          </cell>
          <cell r="J18">
            <v>4.4285714285714288</v>
          </cell>
          <cell r="K18">
            <v>4.5</v>
          </cell>
          <cell r="L18">
            <v>4.333333333333333</v>
          </cell>
        </row>
        <row r="19">
          <cell r="C19" t="str">
            <v>DUBY SULAY CASTELLANOS CÁRDENAS</v>
          </cell>
          <cell r="D19" t="str">
            <v>FACULTAD DE INGENIERÍAS</v>
          </cell>
          <cell r="E19" t="str">
            <v>PENSAMIENTO ALGORÍTMICO</v>
          </cell>
          <cell r="F19" t="str">
            <v>402</v>
          </cell>
          <cell r="G19">
            <v>16</v>
          </cell>
          <cell r="H19">
            <v>2</v>
          </cell>
          <cell r="I19">
            <v>4.5</v>
          </cell>
          <cell r="J19">
            <v>4.5</v>
          </cell>
          <cell r="K19">
            <v>4.5</v>
          </cell>
          <cell r="L19">
            <v>4.5</v>
          </cell>
        </row>
        <row r="20">
          <cell r="C20" t="str">
            <v>LUISA FERNANDA VILLA MONTOYA</v>
          </cell>
          <cell r="D20" t="str">
            <v>FACULTAD DE INGENIERÍAS</v>
          </cell>
          <cell r="E20" t="str">
            <v>PENSAMIENTO ALGORÍTMICO</v>
          </cell>
          <cell r="F20" t="str">
            <v>401</v>
          </cell>
          <cell r="G20">
            <v>5</v>
          </cell>
          <cell r="H20">
            <v>1</v>
          </cell>
          <cell r="I20">
            <v>5</v>
          </cell>
          <cell r="J20">
            <v>5</v>
          </cell>
          <cell r="K20">
            <v>5</v>
          </cell>
          <cell r="L20">
            <v>5</v>
          </cell>
        </row>
        <row r="21">
          <cell r="C21" t="str">
            <v>DAVID ALBERTO BEDOYA LONDOÑO</v>
          </cell>
          <cell r="D21" t="str">
            <v>FACULTAD DE INGENIERÍAS</v>
          </cell>
          <cell r="E21" t="str">
            <v>PROYECTO DE INGENIERÍA I</v>
          </cell>
          <cell r="F21" t="str">
            <v>402</v>
          </cell>
          <cell r="G21">
            <v>20</v>
          </cell>
          <cell r="H21">
            <v>5</v>
          </cell>
          <cell r="I21">
            <v>4.9333333333333336</v>
          </cell>
          <cell r="J21">
            <v>4.8571428571428568</v>
          </cell>
          <cell r="K21">
            <v>4.9000000000000004</v>
          </cell>
          <cell r="L21">
            <v>4.8666666666666671</v>
          </cell>
        </row>
        <row r="22">
          <cell r="C22" t="str">
            <v>LUIS FERNANDO MONTES GÓMEZ</v>
          </cell>
          <cell r="D22" t="str">
            <v>FACULTAD DE INGENIERÍAS</v>
          </cell>
          <cell r="E22" t="str">
            <v>FORMULACIÓN Y EVALUACIÓN DE PROYECTOS</v>
          </cell>
          <cell r="F22" t="str">
            <v>406</v>
          </cell>
          <cell r="G22">
            <v>18</v>
          </cell>
          <cell r="H22">
            <v>6</v>
          </cell>
          <cell r="I22">
            <v>4.2777777777777777</v>
          </cell>
          <cell r="J22">
            <v>4.2380952380952381</v>
          </cell>
          <cell r="K22">
            <v>4.2916666666666661</v>
          </cell>
          <cell r="L22">
            <v>4.0555555555555554</v>
          </cell>
        </row>
        <row r="23">
          <cell r="C23" t="str">
            <v>FABIÁN HERNANDO RAMÍREZ ATEHORTÚA</v>
          </cell>
          <cell r="D23" t="str">
            <v>FACULTAD DE INGENIERÍAS</v>
          </cell>
          <cell r="E23" t="str">
            <v>FORMULACIÓN Y EVALUACIÓN DE PROYECTOS</v>
          </cell>
          <cell r="F23" t="str">
            <v>402</v>
          </cell>
          <cell r="G23">
            <v>17</v>
          </cell>
          <cell r="H23">
            <v>7</v>
          </cell>
          <cell r="I23">
            <v>4.666666666666667</v>
          </cell>
          <cell r="J23">
            <v>4.5714285714285712</v>
          </cell>
          <cell r="K23">
            <v>4.5714285714285712</v>
          </cell>
          <cell r="L23">
            <v>4.4285714285714288</v>
          </cell>
        </row>
        <row r="24">
          <cell r="C24" t="str">
            <v>FABIÁN HERNANDO RAMÍREZ ATEHORTÚA</v>
          </cell>
          <cell r="D24" t="str">
            <v>FACULTAD DE INGENIERÍAS</v>
          </cell>
          <cell r="E24" t="str">
            <v>FORMULACIÓN Y EVALUACIÓN DE PROYECTOS</v>
          </cell>
          <cell r="F24" t="str">
            <v>403</v>
          </cell>
          <cell r="G24">
            <v>19</v>
          </cell>
          <cell r="H24">
            <v>10</v>
          </cell>
          <cell r="I24">
            <v>4.1000000000000005</v>
          </cell>
          <cell r="J24">
            <v>4.0428571428571427</v>
          </cell>
          <cell r="K24">
            <v>4.0250000000000004</v>
          </cell>
          <cell r="L24">
            <v>4.1333333333333337</v>
          </cell>
        </row>
        <row r="25">
          <cell r="C25" t="str">
            <v>FABIÁN HERNANDO RAMÍREZ ATEHORTÚA</v>
          </cell>
          <cell r="D25" t="str">
            <v>FACULTAD DE INGENIERÍAS</v>
          </cell>
          <cell r="E25" t="str">
            <v>FORMULACIÓN Y EVALUACIÓN DE PROYECTOS</v>
          </cell>
          <cell r="F25" t="str">
            <v>404</v>
          </cell>
          <cell r="G25">
            <v>23</v>
          </cell>
          <cell r="H25">
            <v>11</v>
          </cell>
          <cell r="I25">
            <v>4.5757575757575752</v>
          </cell>
          <cell r="J25">
            <v>4.5454545454545459</v>
          </cell>
          <cell r="K25">
            <v>4.5681818181818183</v>
          </cell>
          <cell r="L25">
            <v>4.6363636363636367</v>
          </cell>
        </row>
        <row r="26">
          <cell r="C26" t="str">
            <v>MARIO ALBERTO LUNA DEL RISCO</v>
          </cell>
          <cell r="D26" t="str">
            <v>FACULTAD DE INGENIERÍAS</v>
          </cell>
          <cell r="E26" t="str">
            <v>EXPRESIÓN GRÁFICA</v>
          </cell>
          <cell r="F26" t="str">
            <v>404</v>
          </cell>
          <cell r="G26">
            <v>18</v>
          </cell>
          <cell r="H26">
            <v>12</v>
          </cell>
          <cell r="I26">
            <v>4.8611111111111116</v>
          </cell>
          <cell r="J26">
            <v>4.7738095238095237</v>
          </cell>
          <cell r="K26">
            <v>4.75</v>
          </cell>
          <cell r="L26">
            <v>4.916666666666667</v>
          </cell>
        </row>
        <row r="27">
          <cell r="C27" t="str">
            <v>MARIO ALBERTO LUNA DEL RISCO</v>
          </cell>
          <cell r="D27" t="str">
            <v>FACULTAD DE INGENIERÍAS</v>
          </cell>
          <cell r="E27" t="str">
            <v>EXPRESIÓN GRÁFICA</v>
          </cell>
          <cell r="F27" t="str">
            <v>407</v>
          </cell>
          <cell r="G27">
            <v>17</v>
          </cell>
          <cell r="H27">
            <v>10</v>
          </cell>
          <cell r="I27">
            <v>4.5666666666666673</v>
          </cell>
          <cell r="J27">
            <v>4.2285714285714278</v>
          </cell>
          <cell r="K27">
            <v>4.2750000000000004</v>
          </cell>
          <cell r="L27">
            <v>4.3</v>
          </cell>
        </row>
        <row r="28">
          <cell r="C28" t="str">
            <v>MARIO ALBERTO LUNA DEL RISCO</v>
          </cell>
          <cell r="D28" t="str">
            <v>FACULTAD DE INGENIERÍAS</v>
          </cell>
          <cell r="E28" t="str">
            <v>EXPRESIÓN GRÁFICA</v>
          </cell>
          <cell r="F28" t="str">
            <v>408</v>
          </cell>
          <cell r="G28">
            <v>18</v>
          </cell>
          <cell r="H28">
            <v>8</v>
          </cell>
          <cell r="I28">
            <v>4.833333333333333</v>
          </cell>
          <cell r="J28">
            <v>4.7857142857142856</v>
          </cell>
          <cell r="K28">
            <v>4.84375</v>
          </cell>
          <cell r="L28">
            <v>4.791666666666667</v>
          </cell>
        </row>
        <row r="29">
          <cell r="C29" t="str">
            <v>GABRIEL JAIME MAYA VASCO</v>
          </cell>
          <cell r="D29" t="str">
            <v>FACULTAD DE INGENIERÍAS</v>
          </cell>
          <cell r="E29" t="str">
            <v>PENSAMIENTO INGENIERÍL</v>
          </cell>
          <cell r="F29" t="str">
            <v>404</v>
          </cell>
          <cell r="G29">
            <v>16</v>
          </cell>
          <cell r="H29">
            <v>2</v>
          </cell>
          <cell r="I29">
            <v>4.333333333333333</v>
          </cell>
          <cell r="J29">
            <v>4.6428571428571432</v>
          </cell>
          <cell r="K29">
            <v>4.625</v>
          </cell>
          <cell r="L29">
            <v>5</v>
          </cell>
        </row>
        <row r="30">
          <cell r="C30" t="str">
            <v>FREDY OCARIS PEREZ RAMIREZ</v>
          </cell>
          <cell r="D30" t="str">
            <v>FACULTAD DE INGENIERÍAS</v>
          </cell>
          <cell r="E30" t="str">
            <v>ESTADÍSTICA PARA INGENIERÍA</v>
          </cell>
          <cell r="F30" t="str">
            <v>403</v>
          </cell>
          <cell r="G30">
            <v>15</v>
          </cell>
          <cell r="H30">
            <v>11</v>
          </cell>
          <cell r="I30">
            <v>4.6969696969696972</v>
          </cell>
          <cell r="J30">
            <v>4.2467532467532463</v>
          </cell>
          <cell r="K30">
            <v>4.1590909090909092</v>
          </cell>
          <cell r="L30">
            <v>4.3636363636363633</v>
          </cell>
        </row>
        <row r="31">
          <cell r="C31" t="str">
            <v>JAIME ALBERTO ECHEVERRI ARIAS</v>
          </cell>
          <cell r="D31" t="str">
            <v>FACULTAD DE INGENIERÍAS</v>
          </cell>
          <cell r="E31" t="str">
            <v>PENSAMIENTO ALGORÍTMICO</v>
          </cell>
          <cell r="F31" t="str">
            <v>413</v>
          </cell>
          <cell r="G31">
            <v>23</v>
          </cell>
          <cell r="H31">
            <v>7</v>
          </cell>
          <cell r="I31">
            <v>4.666666666666667</v>
          </cell>
          <cell r="J31">
            <v>4.6530612244897958</v>
          </cell>
          <cell r="K31">
            <v>4.6785714285714288</v>
          </cell>
          <cell r="L31">
            <v>4.5714285714285712</v>
          </cell>
        </row>
        <row r="32">
          <cell r="C32" t="str">
            <v>JAIME ALBERTO ECHEVERRI ARIAS</v>
          </cell>
          <cell r="D32" t="str">
            <v>FACULTAD DE INGENIERÍAS</v>
          </cell>
          <cell r="E32" t="str">
            <v>PENSAMIENTO ALGORÍTMICO</v>
          </cell>
          <cell r="F32" t="str">
            <v>414</v>
          </cell>
          <cell r="G32">
            <v>17</v>
          </cell>
          <cell r="H32">
            <v>3</v>
          </cell>
          <cell r="I32">
            <v>4.666666666666667</v>
          </cell>
          <cell r="J32">
            <v>4.666666666666667</v>
          </cell>
          <cell r="K32">
            <v>4.666666666666667</v>
          </cell>
          <cell r="L32">
            <v>4.7777777777777786</v>
          </cell>
        </row>
        <row r="33">
          <cell r="C33" t="str">
            <v>NATALIA GOMEZ VELÁSQUEZ</v>
          </cell>
          <cell r="D33" t="str">
            <v>FACULTAD DE INGENIERÍAS</v>
          </cell>
          <cell r="E33" t="str">
            <v>TECNOLOGÍA E INNOVACIÓN EN INGENIERÍA</v>
          </cell>
          <cell r="F33" t="str">
            <v>071</v>
          </cell>
          <cell r="G33">
            <v>12</v>
          </cell>
          <cell r="H33">
            <v>7</v>
          </cell>
          <cell r="I33">
            <v>4.8571428571428568</v>
          </cell>
          <cell r="J33">
            <v>4.8571428571428568</v>
          </cell>
          <cell r="K33">
            <v>4.8571428571428568</v>
          </cell>
          <cell r="L33">
            <v>4.8571428571428568</v>
          </cell>
        </row>
        <row r="34">
          <cell r="C34" t="str">
            <v>SARA CADAVID AGUDELO</v>
          </cell>
          <cell r="D34" t="str">
            <v>FACULTAD DE INGENIERÍAS</v>
          </cell>
          <cell r="E34" t="str">
            <v>TRÁNSITO Y TRANSPORTE</v>
          </cell>
          <cell r="F34" t="str">
            <v>072</v>
          </cell>
          <cell r="G34">
            <v>26</v>
          </cell>
          <cell r="H34">
            <v>13</v>
          </cell>
          <cell r="I34">
            <v>4.666666666666667</v>
          </cell>
          <cell r="J34">
            <v>4.4835164835164836</v>
          </cell>
          <cell r="K34">
            <v>4.3269230769230766</v>
          </cell>
          <cell r="L34">
            <v>4.6666666666666661</v>
          </cell>
        </row>
        <row r="35">
          <cell r="C35" t="str">
            <v>BAIRON MATEUS TUBERQUIA</v>
          </cell>
          <cell r="D35" t="str">
            <v>FACULTAD DE INGENIERÍAS</v>
          </cell>
          <cell r="E35" t="str">
            <v>EXPRESIÓN GRÁFICA</v>
          </cell>
          <cell r="F35" t="str">
            <v>072</v>
          </cell>
          <cell r="G35">
            <v>9</v>
          </cell>
          <cell r="H35">
            <v>6</v>
          </cell>
          <cell r="I35">
            <v>4.9444444444444438</v>
          </cell>
          <cell r="J35">
            <v>4.8095238095238093</v>
          </cell>
          <cell r="K35">
            <v>4.458333333333333</v>
          </cell>
          <cell r="L35">
            <v>4.7222222222222223</v>
          </cell>
        </row>
        <row r="36">
          <cell r="C36" t="str">
            <v>BAIRON MATEUS TUBERQUIA</v>
          </cell>
          <cell r="D36" t="str">
            <v>FACULTAD DE INGENIERÍAS</v>
          </cell>
          <cell r="E36" t="str">
            <v>EXPRESIÓN GRÁFICA</v>
          </cell>
          <cell r="F36" t="str">
            <v>074</v>
          </cell>
          <cell r="G36">
            <v>3</v>
          </cell>
          <cell r="H36">
            <v>1</v>
          </cell>
          <cell r="I36">
            <v>5</v>
          </cell>
          <cell r="J36">
            <v>4.8571428571428568</v>
          </cell>
          <cell r="K36">
            <v>5</v>
          </cell>
          <cell r="L36">
            <v>5</v>
          </cell>
        </row>
        <row r="37">
          <cell r="C37" t="str">
            <v>VERÓNICA VALENCIA GALLEGO</v>
          </cell>
          <cell r="D37" t="str">
            <v>FACULTAD DE INGENIERÍAS</v>
          </cell>
          <cell r="E37" t="str">
            <v>HIDROLOGÍA</v>
          </cell>
          <cell r="F37" t="str">
            <v>072</v>
          </cell>
          <cell r="G37">
            <v>31</v>
          </cell>
          <cell r="H37">
            <v>14</v>
          </cell>
          <cell r="I37">
            <v>4.3095238095238102</v>
          </cell>
          <cell r="J37">
            <v>4.3163265306122449</v>
          </cell>
          <cell r="K37">
            <v>4.1428571428571423</v>
          </cell>
          <cell r="L37">
            <v>4.2380952380952381</v>
          </cell>
        </row>
        <row r="38">
          <cell r="C38" t="str">
            <v>VERÓNICA VALENCIA GALLEGO</v>
          </cell>
          <cell r="D38" t="str">
            <v>FACULTAD DE INGENIERÍAS</v>
          </cell>
          <cell r="E38" t="str">
            <v>TRATAMIENTO DE AGUAS</v>
          </cell>
          <cell r="F38" t="str">
            <v>071</v>
          </cell>
          <cell r="G38">
            <v>17</v>
          </cell>
          <cell r="H38">
            <v>8</v>
          </cell>
          <cell r="I38">
            <v>4.208333333333333</v>
          </cell>
          <cell r="J38">
            <v>4.4107142857142856</v>
          </cell>
          <cell r="K38">
            <v>4.28125</v>
          </cell>
          <cell r="L38">
            <v>4.291666666666667</v>
          </cell>
        </row>
        <row r="39">
          <cell r="C39" t="str">
            <v>VERÓNICA VALENCIA GALLEGO</v>
          </cell>
          <cell r="D39" t="str">
            <v>FACULTAD DE INGENIERÍAS</v>
          </cell>
          <cell r="E39" t="str">
            <v>TRATAMIENTO DE AGUAS</v>
          </cell>
          <cell r="F39" t="str">
            <v>072</v>
          </cell>
          <cell r="G39">
            <v>13</v>
          </cell>
          <cell r="H39">
            <v>4</v>
          </cell>
          <cell r="I39">
            <v>4.5</v>
          </cell>
          <cell r="J39">
            <v>4.3214285714285712</v>
          </cell>
          <cell r="K39">
            <v>4.1875</v>
          </cell>
          <cell r="L39">
            <v>4.25</v>
          </cell>
        </row>
        <row r="40">
          <cell r="C40" t="str">
            <v>VERÓNICA VALENCIA GALLEGO</v>
          </cell>
          <cell r="D40" t="str">
            <v>FACULTAD DE INGENIERÍAS</v>
          </cell>
          <cell r="E40" t="str">
            <v>HIDRÁULICA</v>
          </cell>
          <cell r="F40" t="str">
            <v>072</v>
          </cell>
          <cell r="G40">
            <v>13</v>
          </cell>
          <cell r="H40">
            <v>6</v>
          </cell>
          <cell r="I40">
            <v>4.666666666666667</v>
          </cell>
          <cell r="J40">
            <v>4.6428571428571432</v>
          </cell>
          <cell r="K40">
            <v>4.708333333333333</v>
          </cell>
          <cell r="L40">
            <v>4.5555555555555562</v>
          </cell>
        </row>
        <row r="41">
          <cell r="C41" t="str">
            <v>MARIO ALBERTO RODRÍGUEZ MORENO</v>
          </cell>
          <cell r="D41" t="str">
            <v>FACULTAD DE INGENIERÍAS</v>
          </cell>
          <cell r="E41" t="str">
            <v>PAVIMENTOS</v>
          </cell>
          <cell r="F41" t="str">
            <v>072</v>
          </cell>
          <cell r="G41">
            <v>16</v>
          </cell>
          <cell r="H41">
            <v>7</v>
          </cell>
          <cell r="I41">
            <v>4.7619047619047619</v>
          </cell>
          <cell r="J41">
            <v>4.5102040816326534</v>
          </cell>
          <cell r="K41">
            <v>4.3571428571428577</v>
          </cell>
          <cell r="L41">
            <v>4.5238095238095237</v>
          </cell>
        </row>
        <row r="42">
          <cell r="C42" t="str">
            <v>MARIO ALBERTO RODRÍGUEZ MORENO</v>
          </cell>
          <cell r="D42" t="str">
            <v>FACULTAD DE INGENIERÍAS</v>
          </cell>
          <cell r="E42" t="str">
            <v>PAVIMENTOS</v>
          </cell>
          <cell r="F42" t="str">
            <v>073</v>
          </cell>
          <cell r="G42">
            <v>11</v>
          </cell>
          <cell r="H42">
            <v>10</v>
          </cell>
          <cell r="I42">
            <v>4.3999999999999995</v>
          </cell>
          <cell r="J42">
            <v>3.9857142857142862</v>
          </cell>
          <cell r="K42">
            <v>3.6</v>
          </cell>
          <cell r="L42">
            <v>4.3999999999999995</v>
          </cell>
        </row>
        <row r="43">
          <cell r="C43" t="str">
            <v>JUAN PABLO VILLADA RODAS</v>
          </cell>
          <cell r="D43" t="str">
            <v>FACULTAD DE INGENIERÍAS</v>
          </cell>
          <cell r="E43" t="str">
            <v>GEOTECNIA III</v>
          </cell>
          <cell r="F43" t="str">
            <v>071</v>
          </cell>
          <cell r="G43">
            <v>29</v>
          </cell>
          <cell r="H43">
            <v>11</v>
          </cell>
          <cell r="I43">
            <v>5</v>
          </cell>
          <cell r="J43">
            <v>4.8441558441558445</v>
          </cell>
          <cell r="K43">
            <v>4.7727272727272734</v>
          </cell>
          <cell r="L43">
            <v>4.7272727272727266</v>
          </cell>
        </row>
        <row r="44">
          <cell r="C44" t="str">
            <v>JUAN PABLO VILLADA RODAS</v>
          </cell>
          <cell r="D44" t="str">
            <v>FACULTAD DE INGENIERÍAS</v>
          </cell>
          <cell r="E44" t="str">
            <v>GEOTECNIA III</v>
          </cell>
          <cell r="F44" t="str">
            <v>072</v>
          </cell>
          <cell r="G44">
            <v>10</v>
          </cell>
          <cell r="H44">
            <v>7</v>
          </cell>
          <cell r="I44">
            <v>4.8571428571428577</v>
          </cell>
          <cell r="J44">
            <v>4.4693877551020416</v>
          </cell>
          <cell r="K44">
            <v>4.0714285714285712</v>
          </cell>
          <cell r="L44">
            <v>3.9047619047619051</v>
          </cell>
        </row>
        <row r="45">
          <cell r="C45" t="str">
            <v>JUAN PABLO VILLADA RODAS</v>
          </cell>
          <cell r="D45" t="str">
            <v>FACULTAD DE INGENIERÍAS</v>
          </cell>
          <cell r="E45" t="str">
            <v>GEOTECNIA II</v>
          </cell>
          <cell r="F45" t="str">
            <v>072</v>
          </cell>
          <cell r="G45">
            <v>15</v>
          </cell>
          <cell r="H45">
            <v>10</v>
          </cell>
          <cell r="I45">
            <v>4.4666666666666659</v>
          </cell>
          <cell r="J45">
            <v>4.1285714285714281</v>
          </cell>
          <cell r="K45">
            <v>3.7250000000000001</v>
          </cell>
          <cell r="L45">
            <v>4</v>
          </cell>
        </row>
        <row r="46">
          <cell r="C46" t="str">
            <v>MARIO SANTIAGO HERNANDEZ ARANGO</v>
          </cell>
          <cell r="D46" t="str">
            <v>FACULTAD DE INGENIERÍAS</v>
          </cell>
          <cell r="E46" t="str">
            <v>TOPOGRAFÍA</v>
          </cell>
          <cell r="F46" t="str">
            <v>071</v>
          </cell>
          <cell r="G46">
            <v>9</v>
          </cell>
          <cell r="H46">
            <v>7</v>
          </cell>
          <cell r="I46">
            <v>4.9523809523809526</v>
          </cell>
          <cell r="J46">
            <v>4.816326530612244</v>
          </cell>
          <cell r="K46">
            <v>4.8928571428571423</v>
          </cell>
          <cell r="L46">
            <v>4.8095238095238102</v>
          </cell>
        </row>
        <row r="47">
          <cell r="C47" t="str">
            <v>MARIO SANTIAGO HERNANDEZ ARANGO</v>
          </cell>
          <cell r="D47" t="str">
            <v>FACULTAD DE INGENIERÍAS</v>
          </cell>
          <cell r="E47" t="str">
            <v>TOPOGRAFÍA</v>
          </cell>
          <cell r="F47" t="str">
            <v>072</v>
          </cell>
          <cell r="G47">
            <v>12</v>
          </cell>
          <cell r="H47">
            <v>5</v>
          </cell>
          <cell r="I47">
            <v>4.666666666666667</v>
          </cell>
          <cell r="J47">
            <v>4.6285714285714281</v>
          </cell>
          <cell r="K47">
            <v>4.6999999999999993</v>
          </cell>
          <cell r="L47">
            <v>4.4000000000000004</v>
          </cell>
        </row>
        <row r="48">
          <cell r="C48" t="str">
            <v>MARIO SANTIAGO HERNANDEZ ARANGO</v>
          </cell>
          <cell r="D48" t="str">
            <v>FACULTAD DE INGENIERÍAS</v>
          </cell>
          <cell r="E48" t="str">
            <v>TOPOGRAFÍA</v>
          </cell>
          <cell r="F48" t="str">
            <v>074</v>
          </cell>
          <cell r="G48">
            <v>17</v>
          </cell>
          <cell r="H48">
            <v>7</v>
          </cell>
          <cell r="I48">
            <v>4.8571428571428568</v>
          </cell>
          <cell r="J48">
            <v>4.6938775510204085</v>
          </cell>
          <cell r="K48">
            <v>4.6785714285714288</v>
          </cell>
          <cell r="L48">
            <v>4.5714285714285712</v>
          </cell>
        </row>
        <row r="49">
          <cell r="C49" t="str">
            <v>MELISSA PARRA OBANDO</v>
          </cell>
          <cell r="D49" t="str">
            <v>FACULTAD DE INGENIERÍAS</v>
          </cell>
          <cell r="E49" t="str">
            <v>GEOTECNIA I</v>
          </cell>
          <cell r="F49" t="str">
            <v>071</v>
          </cell>
          <cell r="G49">
            <v>6</v>
          </cell>
          <cell r="H49">
            <v>3</v>
          </cell>
          <cell r="I49">
            <v>4</v>
          </cell>
          <cell r="J49">
            <v>3.666666666666667</v>
          </cell>
          <cell r="K49">
            <v>2.75</v>
          </cell>
          <cell r="L49">
            <v>3.4444444444444446</v>
          </cell>
        </row>
        <row r="50">
          <cell r="C50" t="str">
            <v>MELISSA PARRA OBANDO</v>
          </cell>
          <cell r="D50" t="str">
            <v>FACULTAD DE INGENIERÍAS</v>
          </cell>
          <cell r="E50" t="str">
            <v>GEOTECNIA I</v>
          </cell>
          <cell r="F50" t="str">
            <v>072</v>
          </cell>
          <cell r="G50">
            <v>7</v>
          </cell>
          <cell r="H50">
            <v>9</v>
          </cell>
          <cell r="I50">
            <v>3.4814814814814814</v>
          </cell>
          <cell r="J50">
            <v>3.1904761904761902</v>
          </cell>
          <cell r="K50">
            <v>3.1111111111111112</v>
          </cell>
          <cell r="L50">
            <v>3.3703703703703702</v>
          </cell>
        </row>
        <row r="51">
          <cell r="C51" t="str">
            <v>MELISSA PARRA OBANDO</v>
          </cell>
          <cell r="D51" t="str">
            <v>FACULTAD DE INGENIERÍAS</v>
          </cell>
          <cell r="E51" t="str">
            <v>GEOTECNIA I</v>
          </cell>
          <cell r="F51" t="str">
            <v>073</v>
          </cell>
          <cell r="G51">
            <v>8</v>
          </cell>
          <cell r="H51">
            <v>6</v>
          </cell>
          <cell r="I51">
            <v>4.166666666666667</v>
          </cell>
          <cell r="J51">
            <v>3.7857142857142856</v>
          </cell>
          <cell r="K51">
            <v>3.7916666666666665</v>
          </cell>
          <cell r="L51">
            <v>4.333333333333333</v>
          </cell>
        </row>
        <row r="52">
          <cell r="C52" t="str">
            <v>DANIEL LÓPEZ DE MESA AGUILAR</v>
          </cell>
          <cell r="D52" t="str">
            <v>FACULTAD DE INGENIERÍAS</v>
          </cell>
          <cell r="E52" t="str">
            <v>MECÁNICA DE FLUIDOS</v>
          </cell>
          <cell r="F52" t="str">
            <v>071</v>
          </cell>
          <cell r="G52">
            <v>18</v>
          </cell>
          <cell r="H52">
            <v>10</v>
          </cell>
          <cell r="I52">
            <v>4.833333333333333</v>
          </cell>
          <cell r="J52">
            <v>4.5000000000000009</v>
          </cell>
          <cell r="K52">
            <v>4.5250000000000004</v>
          </cell>
          <cell r="L52">
            <v>4.4333333333333336</v>
          </cell>
        </row>
        <row r="53">
          <cell r="C53" t="str">
            <v>DANIEL LÓPEZ DE MESA AGUILAR</v>
          </cell>
          <cell r="D53" t="str">
            <v>FACULTAD DE INGENIERÍAS</v>
          </cell>
          <cell r="E53" t="str">
            <v>MECÁNICA DE FLUIDOS</v>
          </cell>
          <cell r="F53" t="str">
            <v>073</v>
          </cell>
          <cell r="G53">
            <v>4</v>
          </cell>
          <cell r="H53">
            <v>3</v>
          </cell>
          <cell r="I53">
            <v>4.666666666666667</v>
          </cell>
          <cell r="J53">
            <v>4.666666666666667</v>
          </cell>
          <cell r="K53">
            <v>4.666666666666667</v>
          </cell>
          <cell r="L53">
            <v>4.666666666666667</v>
          </cell>
        </row>
        <row r="54">
          <cell r="C54" t="str">
            <v>LAURA ORTIZ GIRALDO</v>
          </cell>
          <cell r="D54" t="str">
            <v>FACULTAD DE INGENIERÍAS</v>
          </cell>
          <cell r="E54" t="str">
            <v>SISTEMA DE INFORMACIÓN GEOGRÁFICA</v>
          </cell>
          <cell r="F54" t="str">
            <v>071</v>
          </cell>
          <cell r="G54">
            <v>12</v>
          </cell>
          <cell r="H54">
            <v>6</v>
          </cell>
          <cell r="I54">
            <v>5</v>
          </cell>
          <cell r="J54">
            <v>4.9523809523809517</v>
          </cell>
          <cell r="K54">
            <v>4.9166666666666661</v>
          </cell>
          <cell r="L54">
            <v>5</v>
          </cell>
        </row>
        <row r="55">
          <cell r="C55" t="str">
            <v>LAURA ORTIZ GIRALDO</v>
          </cell>
          <cell r="D55" t="str">
            <v>FACULTAD DE INGENIERÍAS</v>
          </cell>
          <cell r="E55" t="str">
            <v>EXPRESIÓN GRÁFICA</v>
          </cell>
          <cell r="F55" t="str">
            <v>073</v>
          </cell>
          <cell r="G55">
            <v>16</v>
          </cell>
          <cell r="H55">
            <v>7</v>
          </cell>
          <cell r="I55">
            <v>4.8571428571428568</v>
          </cell>
          <cell r="J55">
            <v>4.7551020408163254</v>
          </cell>
          <cell r="K55">
            <v>4.7857142857142856</v>
          </cell>
          <cell r="L55">
            <v>4.7619047619047619</v>
          </cell>
        </row>
        <row r="56">
          <cell r="C56" t="str">
            <v>MELISSA ARANGO TORRES</v>
          </cell>
          <cell r="D56" t="str">
            <v>FACULTAD DE INGENIERÍAS</v>
          </cell>
          <cell r="E56" t="str">
            <v>GEOTECNIA I</v>
          </cell>
          <cell r="F56" t="str">
            <v>074</v>
          </cell>
          <cell r="G56">
            <v>14</v>
          </cell>
          <cell r="H56">
            <v>5</v>
          </cell>
          <cell r="I56">
            <v>4.6000000000000005</v>
          </cell>
          <cell r="J56">
            <v>4.2285714285714286</v>
          </cell>
          <cell r="K56">
            <v>3.6</v>
          </cell>
          <cell r="L56">
            <v>4.5333333333333332</v>
          </cell>
        </row>
        <row r="57">
          <cell r="C57" t="str">
            <v>HUGO ALFONSO DÍAZ THERAN</v>
          </cell>
          <cell r="D57" t="str">
            <v>FACULTAD DE INGENIERÍAS</v>
          </cell>
          <cell r="E57" t="str">
            <v>CONSTRUCCIÓN I</v>
          </cell>
          <cell r="F57" t="str">
            <v>072</v>
          </cell>
          <cell r="G57">
            <v>16</v>
          </cell>
          <cell r="H57">
            <v>10</v>
          </cell>
          <cell r="I57">
            <v>3.5</v>
          </cell>
          <cell r="J57">
            <v>3.5571428571428574</v>
          </cell>
          <cell r="K57">
            <v>3.2250000000000001</v>
          </cell>
          <cell r="L57">
            <v>3.6666666666666665</v>
          </cell>
        </row>
        <row r="58">
          <cell r="C58" t="str">
            <v>HUGO ALFONSO DÍAZ THERAN</v>
          </cell>
          <cell r="D58" t="str">
            <v>FACULTAD DE INGENIERÍAS</v>
          </cell>
          <cell r="E58" t="str">
            <v>CONSTRUCCIÓN II</v>
          </cell>
          <cell r="F58" t="str">
            <v>071</v>
          </cell>
          <cell r="G58">
            <v>29</v>
          </cell>
          <cell r="H58">
            <v>12</v>
          </cell>
          <cell r="I58">
            <v>3.7222222222222219</v>
          </cell>
          <cell r="J58">
            <v>3.5238095238095233</v>
          </cell>
          <cell r="K58">
            <v>3.645833333333333</v>
          </cell>
          <cell r="L58">
            <v>3.9444444444444442</v>
          </cell>
        </row>
        <row r="59">
          <cell r="C59" t="str">
            <v>HUGO ALFONSO DÍAZ THERAN</v>
          </cell>
          <cell r="D59" t="str">
            <v>FACULTAD DE INGENIERÍAS</v>
          </cell>
          <cell r="E59" t="str">
            <v>CONSTRUCCIÓN II</v>
          </cell>
          <cell r="F59" t="str">
            <v>073</v>
          </cell>
          <cell r="G59">
            <v>5</v>
          </cell>
          <cell r="H59">
            <v>3</v>
          </cell>
          <cell r="I59">
            <v>3.5555555555555558</v>
          </cell>
          <cell r="J59">
            <v>3.3333333333333335</v>
          </cell>
          <cell r="K59">
            <v>3.583333333333333</v>
          </cell>
          <cell r="L59">
            <v>3.1111111111111112</v>
          </cell>
        </row>
        <row r="60">
          <cell r="C60" t="str">
            <v>NELSON ADOLFO LOAIZA RAMONES</v>
          </cell>
          <cell r="D60" t="str">
            <v>FACULTAD DE INGENIERÍAS</v>
          </cell>
          <cell r="E60" t="str">
            <v>ANÁLISIS ESTRUCTURAL I</v>
          </cell>
          <cell r="F60" t="str">
            <v>071</v>
          </cell>
          <cell r="G60">
            <v>18</v>
          </cell>
          <cell r="H60">
            <v>11</v>
          </cell>
          <cell r="I60">
            <v>4.6363636363636367</v>
          </cell>
          <cell r="J60">
            <v>4.2987012987012978</v>
          </cell>
          <cell r="K60">
            <v>4.2272727272727266</v>
          </cell>
          <cell r="L60">
            <v>4.3030303030303028</v>
          </cell>
        </row>
        <row r="61">
          <cell r="C61" t="str">
            <v>NELSON ADOLFO LOAIZA RAMONES</v>
          </cell>
          <cell r="D61" t="str">
            <v>FACULTAD DE INGENIERÍAS</v>
          </cell>
          <cell r="E61" t="str">
            <v xml:space="preserve">RESISTENCIA DE MATERIALES                                   </v>
          </cell>
          <cell r="F61" t="str">
            <v>071</v>
          </cell>
          <cell r="G61">
            <v>16</v>
          </cell>
          <cell r="H61">
            <v>7</v>
          </cell>
          <cell r="I61">
            <v>4.7619047619047619</v>
          </cell>
          <cell r="J61">
            <v>4.6530612244897958</v>
          </cell>
          <cell r="K61">
            <v>4.6071428571428568</v>
          </cell>
          <cell r="L61">
            <v>4.7142857142857144</v>
          </cell>
        </row>
        <row r="62">
          <cell r="C62" t="str">
            <v>NELSON ADOLFO LOAIZA RAMONES</v>
          </cell>
          <cell r="D62" t="str">
            <v>FACULTAD DE INGENIERÍAS</v>
          </cell>
          <cell r="E62" t="str">
            <v>GEOMETRÍA ANALÍTICA Y VECTORIAL</v>
          </cell>
          <cell r="F62" t="str">
            <v>071</v>
          </cell>
          <cell r="G62">
            <v>9</v>
          </cell>
          <cell r="H62">
            <v>4</v>
          </cell>
          <cell r="I62">
            <v>4.75</v>
          </cell>
          <cell r="J62">
            <v>4.5</v>
          </cell>
          <cell r="K62">
            <v>4.5625</v>
          </cell>
          <cell r="L62">
            <v>4.666666666666667</v>
          </cell>
        </row>
        <row r="63">
          <cell r="C63" t="str">
            <v>LINA MARÍA CHICA OSORIO</v>
          </cell>
          <cell r="D63" t="str">
            <v>FACULTAD DE INGENIERÍAS</v>
          </cell>
          <cell r="E63" t="str">
            <v>GEOLOGÍA FÍSICA</v>
          </cell>
          <cell r="F63" t="str">
            <v>073</v>
          </cell>
          <cell r="G63">
            <v>15</v>
          </cell>
          <cell r="H63">
            <v>11</v>
          </cell>
          <cell r="I63">
            <v>4.8181818181818175</v>
          </cell>
          <cell r="J63">
            <v>4.8441558441558437</v>
          </cell>
          <cell r="K63">
            <v>4.7727272727272734</v>
          </cell>
          <cell r="L63">
            <v>4.7878787878787881</v>
          </cell>
        </row>
        <row r="64">
          <cell r="C64" t="str">
            <v>LINA MARÍA CHICA OSORIO</v>
          </cell>
          <cell r="D64" t="str">
            <v>FACULTAD DE INGENIERÍAS</v>
          </cell>
          <cell r="E64" t="str">
            <v>MATERIALES PARA INGENIERÍA</v>
          </cell>
          <cell r="F64" t="str">
            <v>071</v>
          </cell>
          <cell r="G64">
            <v>22</v>
          </cell>
          <cell r="H64">
            <v>6</v>
          </cell>
          <cell r="I64">
            <v>4.7222222222222223</v>
          </cell>
          <cell r="J64">
            <v>4.3809523809523814</v>
          </cell>
          <cell r="K64">
            <v>4.375</v>
          </cell>
          <cell r="L64">
            <v>4.7222222222222214</v>
          </cell>
        </row>
        <row r="65">
          <cell r="C65" t="str">
            <v>LINA MARÍA CHICA OSORIO</v>
          </cell>
          <cell r="D65" t="str">
            <v>FACULTAD DE INGENIERÍAS</v>
          </cell>
          <cell r="E65" t="str">
            <v>GEOMETRÍA ANALÍTICA Y VECTORIAL</v>
          </cell>
          <cell r="F65" t="str">
            <v>072</v>
          </cell>
          <cell r="G65">
            <v>19</v>
          </cell>
          <cell r="H65">
            <v>16</v>
          </cell>
          <cell r="I65">
            <v>4.645833333333333</v>
          </cell>
          <cell r="J65">
            <v>4.2678571428571432</v>
          </cell>
          <cell r="K65">
            <v>4.328125</v>
          </cell>
          <cell r="L65">
            <v>4.5625</v>
          </cell>
        </row>
        <row r="66">
          <cell r="C66" t="str">
            <v>ÁNGELA MARÍA HINCAPIÉ HENAO</v>
          </cell>
          <cell r="D66" t="str">
            <v>FACULTAD DE INGENIERÍAS</v>
          </cell>
          <cell r="E66" t="str">
            <v>INTRODUCCIÓN A LA INGENIERÍA CIVIL</v>
          </cell>
          <cell r="F66" t="str">
            <v>071</v>
          </cell>
          <cell r="G66">
            <v>21</v>
          </cell>
          <cell r="H66">
            <v>2</v>
          </cell>
          <cell r="I66">
            <v>5</v>
          </cell>
          <cell r="J66">
            <v>5</v>
          </cell>
          <cell r="K66">
            <v>5</v>
          </cell>
          <cell r="L66">
            <v>5</v>
          </cell>
        </row>
        <row r="67">
          <cell r="C67" t="str">
            <v>ÁNGELA MARÍA HINCAPIÉ HENAO</v>
          </cell>
          <cell r="D67" t="str">
            <v>FACULTAD DE INGENIERÍAS</v>
          </cell>
          <cell r="E67" t="str">
            <v>TECNOLOGÍA DEL CONCRETO</v>
          </cell>
          <cell r="F67" t="str">
            <v>072</v>
          </cell>
          <cell r="G67">
            <v>15</v>
          </cell>
          <cell r="H67">
            <v>7</v>
          </cell>
          <cell r="I67">
            <v>4.8571428571428568</v>
          </cell>
          <cell r="J67">
            <v>4.8571428571428568</v>
          </cell>
          <cell r="K67">
            <v>4.8928571428571432</v>
          </cell>
          <cell r="L67">
            <v>4.8571428571428568</v>
          </cell>
        </row>
        <row r="68">
          <cell r="C68" t="str">
            <v>ÁNGELA MARÍA HINCAPIÉ HENAO</v>
          </cell>
          <cell r="D68" t="str">
            <v>FACULTAD DE INGENIERÍAS</v>
          </cell>
          <cell r="E68" t="str">
            <v>TECNOLOGÍA DEL CONCRETO</v>
          </cell>
          <cell r="F68" t="str">
            <v>073</v>
          </cell>
          <cell r="G68">
            <v>9</v>
          </cell>
          <cell r="H68">
            <v>6</v>
          </cell>
          <cell r="I68">
            <v>4.666666666666667</v>
          </cell>
          <cell r="J68">
            <v>4.7380952380952381</v>
          </cell>
          <cell r="K68">
            <v>4.7916666666666661</v>
          </cell>
          <cell r="L68">
            <v>4.833333333333333</v>
          </cell>
        </row>
        <row r="69">
          <cell r="C69" t="str">
            <v>ADRIANA MARÍA MOLINA GIRALDO</v>
          </cell>
          <cell r="D69" t="str">
            <v>FACULTAD DE INGENIERÍAS</v>
          </cell>
          <cell r="E69" t="str">
            <v>SISTEMA DE INFORMACIÓN GEOGRÁFICA</v>
          </cell>
          <cell r="F69" t="str">
            <v>072</v>
          </cell>
          <cell r="G69">
            <v>15</v>
          </cell>
          <cell r="H69">
            <v>6</v>
          </cell>
          <cell r="I69">
            <v>4.666666666666667</v>
          </cell>
          <cell r="J69">
            <v>4.7142857142857144</v>
          </cell>
          <cell r="K69">
            <v>4.7916666666666661</v>
          </cell>
          <cell r="L69">
            <v>4.7222222222222223</v>
          </cell>
        </row>
        <row r="70">
          <cell r="C70" t="str">
            <v>ADRIANA MARÍA MOLINA GIRALDO</v>
          </cell>
          <cell r="D70" t="str">
            <v>FACULTAD DE INGENIERÍAS</v>
          </cell>
          <cell r="E70" t="str">
            <v>SISTEMA DE INFORMACIÓN GEOGRÁFICA</v>
          </cell>
          <cell r="F70" t="str">
            <v>073</v>
          </cell>
          <cell r="G70">
            <v>5</v>
          </cell>
          <cell r="H70">
            <v>2</v>
          </cell>
          <cell r="I70">
            <v>4.5</v>
          </cell>
          <cell r="J70">
            <v>3.5</v>
          </cell>
          <cell r="K70">
            <v>3.375</v>
          </cell>
          <cell r="L70">
            <v>4.166666666666667</v>
          </cell>
        </row>
        <row r="71">
          <cell r="C71" t="str">
            <v>MARCELA MORALES LONDOÑO</v>
          </cell>
          <cell r="D71" t="str">
            <v>FACULTAD DE INGENIERÍAS</v>
          </cell>
          <cell r="E71" t="str">
            <v>HORMIGÓN I</v>
          </cell>
          <cell r="F71" t="str">
            <v>071</v>
          </cell>
          <cell r="G71">
            <v>24</v>
          </cell>
          <cell r="H71">
            <v>10</v>
          </cell>
          <cell r="I71">
            <v>4.7</v>
          </cell>
          <cell r="J71">
            <v>4.3571428571428577</v>
          </cell>
          <cell r="K71">
            <v>4.3499999999999996</v>
          </cell>
          <cell r="L71">
            <v>4.7</v>
          </cell>
        </row>
        <row r="72">
          <cell r="C72" t="str">
            <v>MARCELA MORALES LONDOÑO</v>
          </cell>
          <cell r="D72" t="str">
            <v>FACULTAD DE INGENIERÍAS</v>
          </cell>
          <cell r="E72" t="str">
            <v>HORMIGÓN I</v>
          </cell>
          <cell r="F72" t="str">
            <v>072</v>
          </cell>
          <cell r="G72">
            <v>18</v>
          </cell>
          <cell r="H72">
            <v>20</v>
          </cell>
          <cell r="I72">
            <v>4.0666666666666664</v>
          </cell>
          <cell r="J72">
            <v>3.6000000000000005</v>
          </cell>
          <cell r="K72">
            <v>3.4124999999999996</v>
          </cell>
          <cell r="L72">
            <v>3.9</v>
          </cell>
        </row>
        <row r="73">
          <cell r="C73" t="str">
            <v>MARCELA MORALES LONDOÑO</v>
          </cell>
          <cell r="D73" t="str">
            <v>FACULTAD DE INGENIERÍAS</v>
          </cell>
          <cell r="E73" t="str">
            <v>HORMIGÓN I</v>
          </cell>
          <cell r="F73" t="str">
            <v>073</v>
          </cell>
          <cell r="G73">
            <v>17</v>
          </cell>
          <cell r="H73">
            <v>8</v>
          </cell>
          <cell r="I73">
            <v>4.375</v>
          </cell>
          <cell r="J73">
            <v>4.1428571428571432</v>
          </cell>
          <cell r="K73">
            <v>4.09375</v>
          </cell>
          <cell r="L73">
            <v>4.541666666666667</v>
          </cell>
        </row>
        <row r="74">
          <cell r="C74" t="str">
            <v>MARÍA TATIANA MEJÍA SIERRA</v>
          </cell>
          <cell r="D74" t="str">
            <v>FACULTAD DE INGENIERÍAS</v>
          </cell>
          <cell r="E74" t="str">
            <v>LEGISLACIÓN</v>
          </cell>
          <cell r="F74" t="str">
            <v>071</v>
          </cell>
          <cell r="G74">
            <v>36</v>
          </cell>
          <cell r="H74">
            <v>15</v>
          </cell>
          <cell r="I74">
            <v>4.3111111111111109</v>
          </cell>
          <cell r="J74">
            <v>4.1523809523809518</v>
          </cell>
          <cell r="K74">
            <v>4.0166666666666666</v>
          </cell>
          <cell r="L74">
            <v>4.1111111111111107</v>
          </cell>
        </row>
        <row r="75">
          <cell r="C75" t="str">
            <v>GLORIA ISABEL CARVAJAL PELÁEZ</v>
          </cell>
          <cell r="D75" t="str">
            <v>FACULTAD DE INGENIERÍAS</v>
          </cell>
          <cell r="E75" t="str">
            <v>CONSTRUCCIÓN I</v>
          </cell>
          <cell r="F75" t="str">
            <v>071</v>
          </cell>
          <cell r="G75">
            <v>19</v>
          </cell>
          <cell r="H75">
            <v>8</v>
          </cell>
          <cell r="I75">
            <v>4.5</v>
          </cell>
          <cell r="J75">
            <v>4.4107142857142856</v>
          </cell>
          <cell r="K75">
            <v>4.53125</v>
          </cell>
          <cell r="L75">
            <v>4.583333333333333</v>
          </cell>
        </row>
        <row r="76">
          <cell r="C76" t="str">
            <v>SANDRA ZULIANI COLETTI</v>
          </cell>
          <cell r="D76" t="str">
            <v>FACULTAD DE INGENIERÍAS</v>
          </cell>
          <cell r="E76" t="str">
            <v>TÓPICOS DE INGENIERÍA</v>
          </cell>
          <cell r="F76" t="str">
            <v>071</v>
          </cell>
          <cell r="G76">
            <v>14</v>
          </cell>
          <cell r="H76">
            <v>3</v>
          </cell>
          <cell r="I76">
            <v>4.5555555555555562</v>
          </cell>
          <cell r="J76">
            <v>4.3809523809523814</v>
          </cell>
          <cell r="K76">
            <v>4.416666666666667</v>
          </cell>
          <cell r="L76">
            <v>4.5555555555555562</v>
          </cell>
        </row>
        <row r="77">
          <cell r="C77" t="str">
            <v>SANDRA ZULIANI COLETTI</v>
          </cell>
          <cell r="D77" t="str">
            <v>FACULTAD DE INGENIERÍAS</v>
          </cell>
          <cell r="E77" t="str">
            <v>TÓPICOS DE INGENIERÍA</v>
          </cell>
          <cell r="F77" t="str">
            <v>072</v>
          </cell>
          <cell r="G77">
            <v>27</v>
          </cell>
          <cell r="H77">
            <v>9</v>
          </cell>
          <cell r="I77">
            <v>5</v>
          </cell>
          <cell r="J77">
            <v>4.8412698412698418</v>
          </cell>
          <cell r="K77">
            <v>4.9444444444444446</v>
          </cell>
          <cell r="L77">
            <v>4.9629629629629628</v>
          </cell>
        </row>
        <row r="78">
          <cell r="C78" t="str">
            <v>JUAN MAURICIO BEDOYA SOTO</v>
          </cell>
          <cell r="D78" t="str">
            <v>FACULTAD DE INGENIERÍAS</v>
          </cell>
          <cell r="E78" t="str">
            <v>HIDROLOGÍA</v>
          </cell>
          <cell r="F78" t="str">
            <v>071</v>
          </cell>
          <cell r="G78">
            <v>27</v>
          </cell>
          <cell r="H78">
            <v>9</v>
          </cell>
          <cell r="I78">
            <v>4.4074074074074074</v>
          </cell>
          <cell r="J78">
            <v>4.3492063492063489</v>
          </cell>
          <cell r="K78">
            <v>4.416666666666667</v>
          </cell>
          <cell r="L78">
            <v>4.4444444444444438</v>
          </cell>
        </row>
        <row r="79">
          <cell r="C79" t="str">
            <v>JUAN CAMILO ALDANA BARRERA</v>
          </cell>
          <cell r="D79" t="str">
            <v>FACULTAD DE INGENIERÍAS</v>
          </cell>
          <cell r="E79" t="str">
            <v>CONSTRUCCIÓN II</v>
          </cell>
          <cell r="F79" t="str">
            <v>072</v>
          </cell>
          <cell r="G79">
            <v>33</v>
          </cell>
          <cell r="H79">
            <v>9</v>
          </cell>
          <cell r="I79">
            <v>4.8148148148148149</v>
          </cell>
          <cell r="J79">
            <v>4.7142857142857144</v>
          </cell>
          <cell r="K79">
            <v>4.8055555555555554</v>
          </cell>
          <cell r="L79">
            <v>4.6296296296296298</v>
          </cell>
        </row>
        <row r="80">
          <cell r="C80" t="str">
            <v>JUAN CAMILO ALDANA BARRERA</v>
          </cell>
          <cell r="D80" t="str">
            <v>FACULTAD DE INGENIERÍAS</v>
          </cell>
          <cell r="E80" t="str">
            <v>CONSTRUCCIÓN III</v>
          </cell>
          <cell r="F80" t="str">
            <v>071</v>
          </cell>
          <cell r="G80">
            <v>32</v>
          </cell>
          <cell r="H80">
            <v>13</v>
          </cell>
          <cell r="I80">
            <v>4.6923076923076925</v>
          </cell>
          <cell r="J80">
            <v>4.3516483516483513</v>
          </cell>
          <cell r="K80">
            <v>4.2307692307692308</v>
          </cell>
          <cell r="L80">
            <v>4.4102564102564097</v>
          </cell>
        </row>
        <row r="81">
          <cell r="C81" t="str">
            <v>JUAN CAMILO ALDANA BARRERA</v>
          </cell>
          <cell r="D81" t="str">
            <v>FACULTAD DE INGENIERÍAS</v>
          </cell>
          <cell r="E81" t="str">
            <v>CONSTRUCCIÓN III</v>
          </cell>
          <cell r="F81" t="str">
            <v>072</v>
          </cell>
          <cell r="G81">
            <v>24</v>
          </cell>
          <cell r="H81">
            <v>7</v>
          </cell>
          <cell r="I81">
            <v>4.9047619047619051</v>
          </cell>
          <cell r="J81">
            <v>4.7959183673469381</v>
          </cell>
          <cell r="K81">
            <v>4.6071428571428568</v>
          </cell>
          <cell r="L81">
            <v>4.666666666666667</v>
          </cell>
        </row>
        <row r="82">
          <cell r="C82" t="str">
            <v>RUBÉN DARÍO MONTOYA RAMÍREZ</v>
          </cell>
          <cell r="D82" t="str">
            <v>FACULTAD DE INGENIERÍAS</v>
          </cell>
          <cell r="E82" t="str">
            <v>MECÁNICA DE FLUIDOS</v>
          </cell>
          <cell r="F82" t="str">
            <v>072</v>
          </cell>
          <cell r="G82">
            <v>16</v>
          </cell>
          <cell r="H82">
            <v>3</v>
          </cell>
          <cell r="I82">
            <v>3.8888888888888888</v>
          </cell>
          <cell r="J82">
            <v>3.9523809523809521</v>
          </cell>
          <cell r="K82">
            <v>3.9999999999999996</v>
          </cell>
          <cell r="L82">
            <v>4</v>
          </cell>
        </row>
        <row r="83">
          <cell r="C83" t="str">
            <v>LUIS JAVIER MONTOYA JARAMILLO</v>
          </cell>
          <cell r="D83" t="str">
            <v>FACULTAD DE INGENIERÍAS</v>
          </cell>
          <cell r="E83" t="str">
            <v>HIDRÁULICA</v>
          </cell>
          <cell r="F83" t="str">
            <v>071</v>
          </cell>
          <cell r="G83">
            <v>19</v>
          </cell>
          <cell r="H83">
            <v>11</v>
          </cell>
          <cell r="I83">
            <v>4.1818181818181817</v>
          </cell>
          <cell r="J83">
            <v>3.9610389610389611</v>
          </cell>
          <cell r="K83">
            <v>3.9772727272727271</v>
          </cell>
          <cell r="L83">
            <v>3.8181818181818179</v>
          </cell>
        </row>
        <row r="84">
          <cell r="C84" t="str">
            <v>LUIS JAVIER MONTOYA JARAMILLO</v>
          </cell>
          <cell r="D84" t="str">
            <v>FACULTAD DE INGENIERÍAS</v>
          </cell>
          <cell r="E84" t="str">
            <v>ACUEDUCTOS Y ALCANTARILLADOS</v>
          </cell>
          <cell r="F84" t="str">
            <v>071</v>
          </cell>
          <cell r="G84">
            <v>11</v>
          </cell>
          <cell r="H84">
            <v>2</v>
          </cell>
          <cell r="I84">
            <v>4.666666666666667</v>
          </cell>
          <cell r="J84">
            <v>4.5</v>
          </cell>
          <cell r="K84">
            <v>4.875</v>
          </cell>
          <cell r="L84">
            <v>4.833333333333333</v>
          </cell>
        </row>
        <row r="85">
          <cell r="C85" t="str">
            <v>LUIS JAVIER MONTOYA JARAMILLO</v>
          </cell>
          <cell r="D85" t="str">
            <v>FACULTAD DE INGENIERÍAS</v>
          </cell>
          <cell r="E85" t="str">
            <v>ACUEDUCTOS Y ALCANTARILLADOS</v>
          </cell>
          <cell r="F85" t="str">
            <v>072</v>
          </cell>
          <cell r="G85">
            <v>21</v>
          </cell>
          <cell r="H85">
            <v>12</v>
          </cell>
          <cell r="I85">
            <v>4.6388888888888893</v>
          </cell>
          <cell r="J85">
            <v>4.7738095238095246</v>
          </cell>
          <cell r="K85">
            <v>4.6041666666666661</v>
          </cell>
          <cell r="L85">
            <v>4.5277777777777777</v>
          </cell>
        </row>
        <row r="86">
          <cell r="C86" t="str">
            <v>JOHN MARIO GARCÍA GIRALDO</v>
          </cell>
          <cell r="D86" t="str">
            <v>FACULTAD DE INGENIERÍAS</v>
          </cell>
          <cell r="E86" t="str">
            <v>ESTÁTICA</v>
          </cell>
          <cell r="F86" t="str">
            <v>072</v>
          </cell>
          <cell r="G86">
            <v>10</v>
          </cell>
          <cell r="H86">
            <v>12</v>
          </cell>
          <cell r="I86">
            <v>4.3888888888888884</v>
          </cell>
          <cell r="J86">
            <v>4.1309523809523814</v>
          </cell>
          <cell r="K86">
            <v>4.0833333333333339</v>
          </cell>
          <cell r="L86">
            <v>4.5555555555555554</v>
          </cell>
        </row>
        <row r="87">
          <cell r="C87" t="str">
            <v>JOHN MARIO GARCÍA GIRALDO</v>
          </cell>
          <cell r="D87" t="str">
            <v>FACULTAD DE INGENIERÍAS</v>
          </cell>
          <cell r="E87" t="str">
            <v xml:space="preserve">RESISTENCIA DE MATERIALES                                   </v>
          </cell>
          <cell r="F87" t="str">
            <v>072</v>
          </cell>
          <cell r="G87">
            <v>14</v>
          </cell>
          <cell r="H87">
            <v>7</v>
          </cell>
          <cell r="I87">
            <v>4.9523809523809526</v>
          </cell>
          <cell r="J87">
            <v>4.7755102040816331</v>
          </cell>
          <cell r="K87">
            <v>4.8928571428571432</v>
          </cell>
          <cell r="L87">
            <v>4.8571428571428577</v>
          </cell>
        </row>
        <row r="88">
          <cell r="C88" t="str">
            <v>JOHNNY ALEXANDER VEGA GUTIERREZ</v>
          </cell>
          <cell r="D88" t="str">
            <v>FACULTAD DE INGENIERÍAS</v>
          </cell>
          <cell r="E88" t="str">
            <v>GEOLOGÍA FÍSICA</v>
          </cell>
          <cell r="F88" t="str">
            <v>071</v>
          </cell>
          <cell r="G88">
            <v>12</v>
          </cell>
          <cell r="H88">
            <v>4</v>
          </cell>
          <cell r="I88">
            <v>5</v>
          </cell>
          <cell r="J88">
            <v>4.75</v>
          </cell>
          <cell r="K88">
            <v>4.6875</v>
          </cell>
          <cell r="L88">
            <v>4.916666666666667</v>
          </cell>
        </row>
        <row r="89">
          <cell r="C89" t="str">
            <v>JOHNNY ALEXANDER VEGA GUTIERREZ</v>
          </cell>
          <cell r="D89" t="str">
            <v>FACULTAD DE INGENIERÍAS</v>
          </cell>
          <cell r="E89" t="str">
            <v>DISEÑO DE VÍAS</v>
          </cell>
          <cell r="F89" t="str">
            <v>073</v>
          </cell>
          <cell r="G89">
            <v>10</v>
          </cell>
          <cell r="H89">
            <v>5</v>
          </cell>
          <cell r="I89">
            <v>4.2666666666666666</v>
          </cell>
          <cell r="J89">
            <v>4.3999999999999995</v>
          </cell>
          <cell r="K89">
            <v>4.3500000000000005</v>
          </cell>
          <cell r="L89">
            <v>4.4000000000000004</v>
          </cell>
        </row>
        <row r="90">
          <cell r="C90" t="str">
            <v>JOHNNY ALEXANDER VEGA GUTIERREZ</v>
          </cell>
          <cell r="D90" t="str">
            <v>FACULTAD DE INGENIERÍAS</v>
          </cell>
          <cell r="E90" t="str">
            <v>DISEÑO DE VÍAS</v>
          </cell>
          <cell r="F90" t="str">
            <v>074</v>
          </cell>
          <cell r="G90">
            <v>16</v>
          </cell>
          <cell r="H90">
            <v>11</v>
          </cell>
          <cell r="I90">
            <v>4.6060606060606064</v>
          </cell>
          <cell r="J90">
            <v>4.441558441558441</v>
          </cell>
          <cell r="K90">
            <v>4.3863636363636367</v>
          </cell>
          <cell r="L90">
            <v>4.5151515151515156</v>
          </cell>
        </row>
        <row r="91">
          <cell r="C91" t="str">
            <v>ARTURO ALBERTO ARISMENDY JARAMILLO</v>
          </cell>
          <cell r="D91" t="str">
            <v>FACULTAD DE INGENIERÍAS</v>
          </cell>
          <cell r="E91" t="str">
            <v>ESTÁTICA</v>
          </cell>
          <cell r="F91" t="str">
            <v>071</v>
          </cell>
          <cell r="G91">
            <v>5</v>
          </cell>
          <cell r="H91">
            <v>1</v>
          </cell>
          <cell r="I91">
            <v>3.3333333333333335</v>
          </cell>
          <cell r="J91">
            <v>2.4285714285714284</v>
          </cell>
          <cell r="K91">
            <v>2.25</v>
          </cell>
          <cell r="L91">
            <v>3.3333333333333335</v>
          </cell>
        </row>
        <row r="92">
          <cell r="C92" t="str">
            <v>ARTURO ALBERTO ARISMENDY JARAMILLO</v>
          </cell>
          <cell r="D92" t="str">
            <v>FACULTAD DE INGENIERÍAS</v>
          </cell>
          <cell r="E92" t="str">
            <v>ESTÁTICA</v>
          </cell>
          <cell r="F92" t="str">
            <v>073</v>
          </cell>
          <cell r="G92">
            <v>14</v>
          </cell>
          <cell r="H92">
            <v>11</v>
          </cell>
          <cell r="I92">
            <v>3.8787878787878789</v>
          </cell>
          <cell r="J92">
            <v>3.5064935064935066</v>
          </cell>
          <cell r="K92">
            <v>3.6590909090909092</v>
          </cell>
          <cell r="L92">
            <v>3.9090909090909096</v>
          </cell>
        </row>
        <row r="93">
          <cell r="C93" t="str">
            <v>ESTEBAN ALBERTO CORREA BEDOYA</v>
          </cell>
          <cell r="D93" t="str">
            <v>FACULTAD DE INGENIERÍAS</v>
          </cell>
          <cell r="E93" t="str">
            <v>MATERIALES PARA INGENIERÍA</v>
          </cell>
          <cell r="F93" t="str">
            <v>072</v>
          </cell>
          <cell r="G93">
            <v>11</v>
          </cell>
          <cell r="H93">
            <v>4</v>
          </cell>
          <cell r="I93">
            <v>4.833333333333333</v>
          </cell>
          <cell r="J93">
            <v>4.8214285714285712</v>
          </cell>
          <cell r="K93">
            <v>4.5</v>
          </cell>
          <cell r="L93">
            <v>4.666666666666667</v>
          </cell>
        </row>
        <row r="94">
          <cell r="C94" t="str">
            <v>RICARDO LEÓN BONETT DÍAZ</v>
          </cell>
          <cell r="D94" t="str">
            <v>FACULTAD DE INGENIERÍAS</v>
          </cell>
          <cell r="E94" t="str">
            <v>ANÁLISIS ESTRUCTURAL II</v>
          </cell>
          <cell r="F94" t="str">
            <v>071</v>
          </cell>
          <cell r="G94">
            <v>28</v>
          </cell>
          <cell r="H94">
            <v>18</v>
          </cell>
          <cell r="I94">
            <v>4.6851851851851851</v>
          </cell>
          <cell r="J94">
            <v>4.5079365079365079</v>
          </cell>
          <cell r="K94">
            <v>4.6527777777777768</v>
          </cell>
          <cell r="L94">
            <v>4.7962962962962967</v>
          </cell>
        </row>
        <row r="95">
          <cell r="C95" t="str">
            <v>RICARDO LEÓN BONETT DÍAZ</v>
          </cell>
          <cell r="D95" t="str">
            <v>FACULTAD DE INGENIERÍAS</v>
          </cell>
          <cell r="E95" t="str">
            <v>ANÁLISIS ESTRUCTURAL II</v>
          </cell>
          <cell r="F95" t="str">
            <v>072</v>
          </cell>
          <cell r="G95">
            <v>28</v>
          </cell>
          <cell r="H95">
            <v>14</v>
          </cell>
          <cell r="I95">
            <v>5</v>
          </cell>
          <cell r="J95">
            <v>4.8265306122448974</v>
          </cell>
          <cell r="K95">
            <v>4.8214285714285712</v>
          </cell>
          <cell r="L95">
            <v>4.833333333333333</v>
          </cell>
        </row>
        <row r="96">
          <cell r="C96" t="str">
            <v>ANDRÉS MAURICIO PALACIO ESCOBAR</v>
          </cell>
          <cell r="D96" t="str">
            <v>FACULTAD DE INGENIERÍAS</v>
          </cell>
          <cell r="E96" t="str">
            <v xml:space="preserve">HORMIGON II                                                 </v>
          </cell>
          <cell r="F96" t="str">
            <v>071</v>
          </cell>
          <cell r="G96">
            <v>25</v>
          </cell>
          <cell r="H96">
            <v>6</v>
          </cell>
          <cell r="I96">
            <v>4.333333333333333</v>
          </cell>
          <cell r="J96">
            <v>4.1428571428571432</v>
          </cell>
          <cell r="K96">
            <v>4.041666666666667</v>
          </cell>
          <cell r="L96">
            <v>4.2777777777777777</v>
          </cell>
        </row>
        <row r="97">
          <cell r="C97" t="str">
            <v>ANDRÉS MAURICIO PALACIO ESCOBAR</v>
          </cell>
          <cell r="D97" t="str">
            <v>FACULTAD DE INGENIERÍAS</v>
          </cell>
          <cell r="E97" t="str">
            <v xml:space="preserve">HORMIGON II                                                 </v>
          </cell>
          <cell r="F97" t="str">
            <v>072</v>
          </cell>
          <cell r="G97">
            <v>31</v>
          </cell>
          <cell r="H97">
            <v>9</v>
          </cell>
          <cell r="I97">
            <v>4.8518518518518521</v>
          </cell>
          <cell r="J97">
            <v>4.8095238095238102</v>
          </cell>
          <cell r="K97">
            <v>4.8611111111111116</v>
          </cell>
          <cell r="L97">
            <v>4.8888888888888893</v>
          </cell>
        </row>
        <row r="98">
          <cell r="C98" t="str">
            <v>ANDRÉS MAURICIO PALACIO ESCOBAR</v>
          </cell>
          <cell r="D98" t="str">
            <v>FACULTAD DE INGENIERÍAS</v>
          </cell>
          <cell r="E98" t="str">
            <v>ÉNFASIS I: ESTRUCTURAS I</v>
          </cell>
          <cell r="F98" t="str">
            <v>071</v>
          </cell>
          <cell r="G98">
            <v>5</v>
          </cell>
          <cell r="H98">
            <v>3</v>
          </cell>
          <cell r="I98">
            <v>5</v>
          </cell>
          <cell r="J98">
            <v>5</v>
          </cell>
          <cell r="K98">
            <v>5</v>
          </cell>
          <cell r="L98">
            <v>5</v>
          </cell>
        </row>
        <row r="99">
          <cell r="C99" t="str">
            <v>CÉSAR AUGUSTO HIDALGO MONTOYA</v>
          </cell>
          <cell r="D99" t="str">
            <v>FACULTAD DE INGENIERÍAS</v>
          </cell>
          <cell r="E99" t="str">
            <v>GEOTECNIA II</v>
          </cell>
          <cell r="F99" t="str">
            <v>071</v>
          </cell>
          <cell r="G99">
            <v>33</v>
          </cell>
          <cell r="H99">
            <v>13</v>
          </cell>
          <cell r="I99">
            <v>4.2564102564102564</v>
          </cell>
          <cell r="J99">
            <v>4.1758241758241752</v>
          </cell>
          <cell r="K99">
            <v>3.9615384615384617</v>
          </cell>
          <cell r="L99">
            <v>4.1794871794871797</v>
          </cell>
        </row>
        <row r="100">
          <cell r="C100" t="str">
            <v>LUCAS ANDRÉS QUINTERO VELÁSQUEZ</v>
          </cell>
          <cell r="D100" t="str">
            <v>FACULTAD DE INGENIERÍAS</v>
          </cell>
          <cell r="E100" t="str">
            <v>LEGISLACIÓN AMBIENTAL</v>
          </cell>
          <cell r="F100" t="str">
            <v>081</v>
          </cell>
          <cell r="G100">
            <v>5</v>
          </cell>
          <cell r="H100">
            <v>3</v>
          </cell>
          <cell r="I100">
            <v>4.666666666666667</v>
          </cell>
          <cell r="J100">
            <v>4.666666666666667</v>
          </cell>
          <cell r="K100">
            <v>4.666666666666667</v>
          </cell>
          <cell r="L100">
            <v>4.666666666666667</v>
          </cell>
        </row>
        <row r="101">
          <cell r="C101" t="str">
            <v>LUCAS ANDRÉS QUINTERO VELÁSQUEZ</v>
          </cell>
          <cell r="D101" t="str">
            <v>FACULTAD DE INGENIERÍAS</v>
          </cell>
          <cell r="E101" t="str">
            <v>GESTIÓN TERRITORIAL AMBIENTAL</v>
          </cell>
          <cell r="F101" t="str">
            <v>081</v>
          </cell>
          <cell r="G101">
            <v>13</v>
          </cell>
          <cell r="H101">
            <v>7</v>
          </cell>
          <cell r="I101">
            <v>4.6666666666666661</v>
          </cell>
          <cell r="J101">
            <v>4.6530612244897958</v>
          </cell>
          <cell r="K101">
            <v>4.5357142857142865</v>
          </cell>
          <cell r="L101">
            <v>4.7142857142857144</v>
          </cell>
        </row>
        <row r="102">
          <cell r="C102" t="str">
            <v>JORGE LUIS GALLEGO ZAPATA</v>
          </cell>
          <cell r="D102" t="str">
            <v>FACULTAD DE INGENIERÍAS</v>
          </cell>
          <cell r="E102" t="str">
            <v>PRÁCTICA DE DIAGNÓSTICO DE SUELOS</v>
          </cell>
          <cell r="F102" t="str">
            <v>082</v>
          </cell>
          <cell r="G102">
            <v>6</v>
          </cell>
          <cell r="H102">
            <v>3</v>
          </cell>
          <cell r="I102">
            <v>5</v>
          </cell>
          <cell r="J102">
            <v>5</v>
          </cell>
          <cell r="K102">
            <v>5</v>
          </cell>
          <cell r="L102">
            <v>5</v>
          </cell>
        </row>
        <row r="103">
          <cell r="C103" t="str">
            <v>JORGE LUIS GALLEGO ZAPATA</v>
          </cell>
          <cell r="D103" t="str">
            <v>FACULTAD DE INGENIERÍAS</v>
          </cell>
          <cell r="E103" t="str">
            <v>PRÁCTICA DE TRATAMIENTO DE SUELOS</v>
          </cell>
          <cell r="F103" t="str">
            <v>081</v>
          </cell>
          <cell r="G103">
            <v>5</v>
          </cell>
          <cell r="H103">
            <v>1</v>
          </cell>
          <cell r="I103">
            <v>5</v>
          </cell>
          <cell r="J103">
            <v>5</v>
          </cell>
          <cell r="K103">
            <v>5</v>
          </cell>
          <cell r="L103">
            <v>5</v>
          </cell>
        </row>
        <row r="104">
          <cell r="C104" t="str">
            <v>JORGE LUIS GALLEGO ZAPATA</v>
          </cell>
          <cell r="D104" t="str">
            <v>FACULTAD DE INGENIERÍAS</v>
          </cell>
          <cell r="E104" t="str">
            <v>PRÁCTICA DE TRATAMIENTO DE SUELOS</v>
          </cell>
          <cell r="F104" t="str">
            <v>082</v>
          </cell>
          <cell r="G104">
            <v>9</v>
          </cell>
          <cell r="H104">
            <v>5</v>
          </cell>
          <cell r="I104">
            <v>4.8</v>
          </cell>
          <cell r="J104">
            <v>4.8</v>
          </cell>
          <cell r="K104">
            <v>4.8</v>
          </cell>
          <cell r="L104">
            <v>4.8</v>
          </cell>
        </row>
        <row r="105">
          <cell r="C105" t="str">
            <v>CARLOS MARIO VALENZUELA ROSAS</v>
          </cell>
          <cell r="D105" t="str">
            <v>FACULTAD DE INGENIERÍAS</v>
          </cell>
          <cell r="E105" t="str">
            <v>PRÁCTICA DE MECÁNICA DE FLUÍDOS</v>
          </cell>
          <cell r="F105" t="str">
            <v>081</v>
          </cell>
          <cell r="G105">
            <v>9</v>
          </cell>
          <cell r="H105">
            <v>5</v>
          </cell>
          <cell r="I105">
            <v>4.5999999999999996</v>
          </cell>
          <cell r="J105">
            <v>4.6000000000000005</v>
          </cell>
          <cell r="K105">
            <v>4.55</v>
          </cell>
          <cell r="L105">
            <v>4.5333333333333332</v>
          </cell>
        </row>
        <row r="106">
          <cell r="C106" t="str">
            <v>CARLOS MARIO VALENZUELA ROSAS</v>
          </cell>
          <cell r="D106" t="str">
            <v>FACULTAD DE INGENIERÍAS</v>
          </cell>
          <cell r="E106" t="str">
            <v>PRÁCTICA DE HIDRÁULICA</v>
          </cell>
          <cell r="F106" t="str">
            <v>081</v>
          </cell>
          <cell r="G106">
            <v>13</v>
          </cell>
          <cell r="H106">
            <v>3</v>
          </cell>
          <cell r="I106">
            <v>5</v>
          </cell>
          <cell r="J106">
            <v>5</v>
          </cell>
          <cell r="K106">
            <v>4.916666666666667</v>
          </cell>
          <cell r="L106">
            <v>5</v>
          </cell>
        </row>
        <row r="107">
          <cell r="C107" t="str">
            <v>JUAN FELIPE MEDINA VELÁSQUEZ</v>
          </cell>
          <cell r="D107" t="str">
            <v>FACULTAD DE INGENIERÍAS</v>
          </cell>
          <cell r="E107" t="str">
            <v>CONTROL DE LA CONTAMINACIÓN ATMOSFÉRICA</v>
          </cell>
          <cell r="F107" t="str">
            <v>081</v>
          </cell>
          <cell r="G107">
            <v>16</v>
          </cell>
          <cell r="H107">
            <v>7</v>
          </cell>
          <cell r="I107">
            <v>4.3809523809523805</v>
          </cell>
          <cell r="J107">
            <v>4.0816326530612246</v>
          </cell>
          <cell r="K107">
            <v>4.2857142857142865</v>
          </cell>
          <cell r="L107">
            <v>4.3809523809523805</v>
          </cell>
        </row>
        <row r="108">
          <cell r="C108" t="str">
            <v>JUAN FELIPE MEDINA VELÁSQUEZ</v>
          </cell>
          <cell r="D108" t="str">
            <v>FACULTAD DE INGENIERÍAS</v>
          </cell>
          <cell r="E108" t="str">
            <v>PRÁCTICA DE CONTROL DE LA CONTAMINACIÓN ATMOSFÉRICA</v>
          </cell>
          <cell r="F108" t="str">
            <v>081</v>
          </cell>
          <cell r="G108">
            <v>7</v>
          </cell>
          <cell r="H108">
            <v>3</v>
          </cell>
          <cell r="I108">
            <v>5</v>
          </cell>
          <cell r="J108">
            <v>4.9047619047619051</v>
          </cell>
          <cell r="K108">
            <v>5</v>
          </cell>
          <cell r="L108">
            <v>5</v>
          </cell>
        </row>
        <row r="109">
          <cell r="C109" t="str">
            <v>JUAN FELIPE MEDINA VELÁSQUEZ</v>
          </cell>
          <cell r="D109" t="str">
            <v>FACULTAD DE INGENIERÍAS</v>
          </cell>
          <cell r="E109" t="str">
            <v>PRÁCTICA DE CONTROL DE LA CONTAMINACIÓN ATMOSFÉRICA</v>
          </cell>
          <cell r="F109" t="str">
            <v>082</v>
          </cell>
          <cell r="G109">
            <v>9</v>
          </cell>
          <cell r="H109">
            <v>4</v>
          </cell>
          <cell r="I109">
            <v>4.416666666666667</v>
          </cell>
          <cell r="J109">
            <v>3.9642857142857144</v>
          </cell>
          <cell r="K109">
            <v>4</v>
          </cell>
          <cell r="L109">
            <v>4</v>
          </cell>
        </row>
        <row r="110">
          <cell r="C110" t="str">
            <v>ÁNGELA MARÍA BELLO GÓMEZ</v>
          </cell>
          <cell r="D110" t="str">
            <v>FACULTAD DE INGENIERÍAS</v>
          </cell>
          <cell r="E110" t="str">
            <v>EVALUACIONES AMBIENTALES</v>
          </cell>
          <cell r="F110" t="str">
            <v>081</v>
          </cell>
          <cell r="G110">
            <v>12</v>
          </cell>
          <cell r="H110">
            <v>2</v>
          </cell>
          <cell r="I110">
            <v>5</v>
          </cell>
          <cell r="J110">
            <v>5</v>
          </cell>
          <cell r="K110">
            <v>4.5</v>
          </cell>
          <cell r="L110">
            <v>4.666666666666667</v>
          </cell>
        </row>
        <row r="111">
          <cell r="C111" t="str">
            <v>CATALINA ARROYAVE QUICENO</v>
          </cell>
          <cell r="D111" t="str">
            <v>FACULTAD DE INGENIERÍAS</v>
          </cell>
          <cell r="E111" t="str">
            <v>METODOLOGÍA DE LA INVESTIGACIÓN</v>
          </cell>
          <cell r="F111" t="str">
            <v>081</v>
          </cell>
          <cell r="G111">
            <v>4</v>
          </cell>
          <cell r="H111">
            <v>2</v>
          </cell>
          <cell r="I111">
            <v>5</v>
          </cell>
          <cell r="J111">
            <v>5</v>
          </cell>
          <cell r="K111">
            <v>5</v>
          </cell>
          <cell r="L111">
            <v>5</v>
          </cell>
        </row>
        <row r="112">
          <cell r="C112" t="str">
            <v>CATALINA ARROYAVE QUICENO</v>
          </cell>
          <cell r="D112" t="str">
            <v>FACULTAD DE INGENIERÍAS</v>
          </cell>
          <cell r="E112" t="str">
            <v>PRÁCTICA DE QUÍMICA ORGÁNICA</v>
          </cell>
          <cell r="F112" t="str">
            <v>081</v>
          </cell>
          <cell r="G112">
            <v>3</v>
          </cell>
          <cell r="H112">
            <v>2</v>
          </cell>
          <cell r="I112">
            <v>4.5</v>
          </cell>
          <cell r="J112">
            <v>4.5</v>
          </cell>
          <cell r="K112">
            <v>5</v>
          </cell>
          <cell r="L112">
            <v>5</v>
          </cell>
        </row>
        <row r="113">
          <cell r="C113" t="str">
            <v>CATALINA ARROYAVE QUICENO</v>
          </cell>
          <cell r="D113" t="str">
            <v>FACULTAD DE INGENIERÍAS</v>
          </cell>
          <cell r="E113" t="str">
            <v>QUÍMICA ORGÁNICA</v>
          </cell>
          <cell r="F113" t="str">
            <v>081</v>
          </cell>
          <cell r="G113">
            <v>3</v>
          </cell>
          <cell r="H113">
            <v>2</v>
          </cell>
          <cell r="I113">
            <v>5</v>
          </cell>
          <cell r="J113">
            <v>5</v>
          </cell>
          <cell r="K113">
            <v>5</v>
          </cell>
          <cell r="L113">
            <v>5</v>
          </cell>
        </row>
        <row r="114">
          <cell r="C114" t="str">
            <v xml:space="preserve">DANIELA BLESSENT </v>
          </cell>
          <cell r="D114" t="str">
            <v>FACULTAD DE INGENIERÍAS</v>
          </cell>
          <cell r="E114" t="str">
            <v>MECÁNICA DE FLUIDOS</v>
          </cell>
          <cell r="F114" t="str">
            <v>081</v>
          </cell>
          <cell r="G114">
            <v>9</v>
          </cell>
          <cell r="H114">
            <v>5</v>
          </cell>
          <cell r="I114">
            <v>4.5999999999999996</v>
          </cell>
          <cell r="J114">
            <v>4.6000000000000005</v>
          </cell>
          <cell r="K114">
            <v>4.3500000000000005</v>
          </cell>
          <cell r="L114">
            <v>4.4666666666666659</v>
          </cell>
        </row>
        <row r="115">
          <cell r="C115" t="str">
            <v xml:space="preserve">DANIELA BLESSENT </v>
          </cell>
          <cell r="D115" t="str">
            <v>FACULTAD DE INGENIERÍAS</v>
          </cell>
          <cell r="E115" t="str">
            <v>HIDRÁULICA</v>
          </cell>
          <cell r="F115" t="str">
            <v>081</v>
          </cell>
          <cell r="G115">
            <v>13</v>
          </cell>
          <cell r="H115">
            <v>3</v>
          </cell>
          <cell r="I115">
            <v>5</v>
          </cell>
          <cell r="J115">
            <v>4.9047619047619042</v>
          </cell>
          <cell r="K115">
            <v>5</v>
          </cell>
          <cell r="L115">
            <v>5</v>
          </cell>
        </row>
        <row r="116">
          <cell r="C116" t="str">
            <v>MARÍA ISABEL MEJÍA CORREA</v>
          </cell>
          <cell r="D116" t="str">
            <v>FACULTAD DE INGENIERÍAS</v>
          </cell>
          <cell r="E116" t="str">
            <v>BALANCES DE MATERIA Y ENERGÍA</v>
          </cell>
          <cell r="F116" t="str">
            <v>081</v>
          </cell>
          <cell r="G116">
            <v>3</v>
          </cell>
          <cell r="H116">
            <v>2</v>
          </cell>
          <cell r="I116">
            <v>5</v>
          </cell>
          <cell r="J116">
            <v>4.7857142857142856</v>
          </cell>
          <cell r="K116">
            <v>5</v>
          </cell>
          <cell r="L116">
            <v>4.833333333333333</v>
          </cell>
        </row>
        <row r="117">
          <cell r="C117" t="str">
            <v>MARÍA ISABEL MEJÍA CORREA</v>
          </cell>
          <cell r="D117" t="str">
            <v>FACULTAD DE INGENIERÍAS</v>
          </cell>
          <cell r="E117" t="str">
            <v>PRÁCTICA DE QUÍMICA ANALÍTICA</v>
          </cell>
          <cell r="F117" t="str">
            <v>081</v>
          </cell>
          <cell r="G117">
            <v>11</v>
          </cell>
          <cell r="H117">
            <v>5</v>
          </cell>
          <cell r="I117">
            <v>4.8666666666666663</v>
          </cell>
          <cell r="J117">
            <v>4.8285714285714283</v>
          </cell>
          <cell r="K117">
            <v>4.8000000000000007</v>
          </cell>
          <cell r="L117">
            <v>5</v>
          </cell>
        </row>
        <row r="118">
          <cell r="C118" t="str">
            <v>ALEJANDRA BALAGUERA QUINTERO</v>
          </cell>
          <cell r="D118" t="str">
            <v>FACULTAD DE INGENIERÍAS</v>
          </cell>
          <cell r="E118" t="str">
            <v>PRODUCCIÓN MÁS LIMPIA</v>
          </cell>
          <cell r="F118" t="str">
            <v>081</v>
          </cell>
          <cell r="G118">
            <v>15</v>
          </cell>
          <cell r="H118">
            <v>6</v>
          </cell>
          <cell r="I118">
            <v>5</v>
          </cell>
          <cell r="J118">
            <v>5</v>
          </cell>
          <cell r="K118">
            <v>5</v>
          </cell>
          <cell r="L118">
            <v>5</v>
          </cell>
        </row>
        <row r="119">
          <cell r="C119" t="str">
            <v>FERNANDO LEÓN GUZMAN DUQUE</v>
          </cell>
          <cell r="D119" t="str">
            <v>FACULTAD DE INGENIERÍAS</v>
          </cell>
          <cell r="E119" t="str">
            <v>PRÁCTICA DE DIAGNÓSTICO DE AGUAS</v>
          </cell>
          <cell r="F119" t="str">
            <v>081</v>
          </cell>
          <cell r="G119">
            <v>7</v>
          </cell>
          <cell r="H119">
            <v>3</v>
          </cell>
          <cell r="I119">
            <v>5</v>
          </cell>
          <cell r="J119">
            <v>5</v>
          </cell>
          <cell r="K119">
            <v>5</v>
          </cell>
          <cell r="L119">
            <v>5</v>
          </cell>
        </row>
        <row r="120">
          <cell r="C120" t="str">
            <v>FERNANDO LEÓN GUZMAN DUQUE</v>
          </cell>
          <cell r="D120" t="str">
            <v>FACULTAD DE INGENIERÍAS</v>
          </cell>
          <cell r="E120" t="str">
            <v>DIAGNÓSTICO DE AGUAS</v>
          </cell>
          <cell r="F120" t="str">
            <v>081</v>
          </cell>
          <cell r="G120">
            <v>7</v>
          </cell>
          <cell r="H120">
            <v>3</v>
          </cell>
          <cell r="I120">
            <v>5</v>
          </cell>
          <cell r="J120">
            <v>5</v>
          </cell>
          <cell r="K120">
            <v>4.75</v>
          </cell>
          <cell r="L120">
            <v>5</v>
          </cell>
        </row>
        <row r="121">
          <cell r="C121" t="str">
            <v>FERNANDO LEÓN GUZMAN DUQUE</v>
          </cell>
          <cell r="D121" t="str">
            <v>FACULTAD DE INGENIERÍAS</v>
          </cell>
          <cell r="E121" t="str">
            <v>PROCESOS FISICOQUÍMICOS</v>
          </cell>
          <cell r="F121" t="str">
            <v>081</v>
          </cell>
          <cell r="G121">
            <v>12</v>
          </cell>
          <cell r="H121">
            <v>8</v>
          </cell>
          <cell r="I121">
            <v>5</v>
          </cell>
          <cell r="J121">
            <v>5</v>
          </cell>
          <cell r="K121">
            <v>5</v>
          </cell>
          <cell r="L121">
            <v>4.916666666666667</v>
          </cell>
        </row>
        <row r="122">
          <cell r="C122" t="str">
            <v>FERNANDO LEÓN GUZMAN DUQUE</v>
          </cell>
          <cell r="D122" t="str">
            <v>FACULTAD DE INGENIERÍAS</v>
          </cell>
          <cell r="E122" t="str">
            <v>PRÁCTICA DE PROCESOS FISICOQUÍMICOS</v>
          </cell>
          <cell r="F122" t="str">
            <v>081</v>
          </cell>
          <cell r="G122">
            <v>12</v>
          </cell>
          <cell r="H122">
            <v>8</v>
          </cell>
          <cell r="I122">
            <v>4.875</v>
          </cell>
          <cell r="J122">
            <v>4.9821428571428568</v>
          </cell>
          <cell r="K122">
            <v>4.9375</v>
          </cell>
          <cell r="L122">
            <v>5</v>
          </cell>
        </row>
        <row r="123">
          <cell r="C123" t="str">
            <v>JUAN MAURICIO BEDOYA SOTO</v>
          </cell>
          <cell r="D123" t="str">
            <v>FACULTAD DE INGENIERÍAS</v>
          </cell>
          <cell r="E123" t="str">
            <v>HIDROLOGÍA Y CLIMATOLOGÍA</v>
          </cell>
          <cell r="F123" t="str">
            <v>081</v>
          </cell>
          <cell r="G123">
            <v>19</v>
          </cell>
          <cell r="H123">
            <v>4</v>
          </cell>
          <cell r="I123">
            <v>5</v>
          </cell>
          <cell r="J123">
            <v>5</v>
          </cell>
          <cell r="K123">
            <v>4.8125</v>
          </cell>
          <cell r="L123">
            <v>4.833333333333333</v>
          </cell>
        </row>
        <row r="124">
          <cell r="C124" t="str">
            <v>JUAN CARLOS JARAMILLO LONDOÑO</v>
          </cell>
          <cell r="D124" t="str">
            <v>FACULTAD DE INGENIERÍAS</v>
          </cell>
          <cell r="E124" t="str">
            <v>ECOLOGÍA APLICADA</v>
          </cell>
          <cell r="F124" t="str">
            <v>081</v>
          </cell>
          <cell r="G124">
            <v>15</v>
          </cell>
          <cell r="H124">
            <v>4</v>
          </cell>
          <cell r="I124">
            <v>4.166666666666667</v>
          </cell>
          <cell r="J124">
            <v>4.25</v>
          </cell>
          <cell r="K124">
            <v>4</v>
          </cell>
          <cell r="L124">
            <v>4.75</v>
          </cell>
        </row>
        <row r="125">
          <cell r="C125" t="str">
            <v>JUAN CARLOS JARAMILLO LONDOÑO</v>
          </cell>
          <cell r="D125" t="str">
            <v>FACULTAD DE INGENIERÍAS</v>
          </cell>
          <cell r="E125" t="str">
            <v>BIOLOGÍA APLICADA</v>
          </cell>
          <cell r="F125" t="str">
            <v>081</v>
          </cell>
          <cell r="G125">
            <v>4</v>
          </cell>
          <cell r="H125">
            <v>1</v>
          </cell>
          <cell r="I125">
            <v>5</v>
          </cell>
          <cell r="J125">
            <v>5</v>
          </cell>
          <cell r="K125">
            <v>5</v>
          </cell>
          <cell r="L125">
            <v>5</v>
          </cell>
        </row>
        <row r="126">
          <cell r="C126" t="str">
            <v>JUAN CARLOS JARAMILLO LONDOÑO</v>
          </cell>
          <cell r="D126" t="str">
            <v>FACULTAD DE INGENIERÍAS</v>
          </cell>
          <cell r="E126" t="str">
            <v>PRÁCTICA DE ECOLOGÍA APLICADA</v>
          </cell>
          <cell r="F126" t="str">
            <v>081</v>
          </cell>
          <cell r="G126">
            <v>15</v>
          </cell>
          <cell r="H126">
            <v>4</v>
          </cell>
          <cell r="I126">
            <v>4.75</v>
          </cell>
          <cell r="J126">
            <v>4.6071428571428568</v>
          </cell>
          <cell r="K126">
            <v>4.5</v>
          </cell>
          <cell r="L126">
            <v>4.666666666666667</v>
          </cell>
        </row>
        <row r="127">
          <cell r="C127" t="str">
            <v>JUAN CARLOS JARAMILLO LONDOÑO</v>
          </cell>
          <cell r="D127" t="str">
            <v>FACULTAD DE INGENIERÍAS</v>
          </cell>
          <cell r="E127" t="str">
            <v>PRÁCTICA DE BIOLOGÍA APLICADA</v>
          </cell>
          <cell r="F127" t="str">
            <v>081</v>
          </cell>
          <cell r="G127">
            <v>4</v>
          </cell>
          <cell r="H127">
            <v>1</v>
          </cell>
          <cell r="I127">
            <v>5</v>
          </cell>
          <cell r="J127">
            <v>5</v>
          </cell>
          <cell r="K127">
            <v>4.5</v>
          </cell>
          <cell r="L127">
            <v>5</v>
          </cell>
        </row>
        <row r="128">
          <cell r="C128" t="str">
            <v>JESÚS ADOLFO ANAYA ACEVEDO</v>
          </cell>
          <cell r="D128" t="str">
            <v>FACULTAD DE INGENIERÍAS</v>
          </cell>
          <cell r="E128" t="str">
            <v>GEOMÁTICA</v>
          </cell>
          <cell r="F128" t="str">
            <v>081</v>
          </cell>
          <cell r="G128">
            <v>2</v>
          </cell>
          <cell r="H128">
            <v>1</v>
          </cell>
          <cell r="I128">
            <v>5</v>
          </cell>
          <cell r="J128">
            <v>4.2857142857142856</v>
          </cell>
          <cell r="K128">
            <v>4</v>
          </cell>
          <cell r="L128">
            <v>3</v>
          </cell>
        </row>
        <row r="129">
          <cell r="C129" t="str">
            <v>JESÚS ADOLFO ANAYA ACEVEDO</v>
          </cell>
          <cell r="D129" t="str">
            <v>FACULTAD DE INGENIERÍAS</v>
          </cell>
          <cell r="E129" t="str">
            <v>PRÁCTICA DE FUNDAMENTOS DE CARTOGRAFÍA</v>
          </cell>
          <cell r="F129" t="str">
            <v>081</v>
          </cell>
          <cell r="G129">
            <v>4</v>
          </cell>
          <cell r="H129">
            <v>2</v>
          </cell>
          <cell r="I129">
            <v>4.5</v>
          </cell>
          <cell r="J129">
            <v>4.9285714285714288</v>
          </cell>
          <cell r="K129">
            <v>4.5</v>
          </cell>
          <cell r="L129">
            <v>5</v>
          </cell>
        </row>
        <row r="130">
          <cell r="C130" t="str">
            <v>JESÚS ADOLFO ANAYA ACEVEDO</v>
          </cell>
          <cell r="D130" t="str">
            <v>FACULTAD DE INGENIERÍAS</v>
          </cell>
          <cell r="E130" t="str">
            <v>FUNDAMENTOS DE CARTOGRAFÍA</v>
          </cell>
          <cell r="F130" t="str">
            <v>081</v>
          </cell>
          <cell r="G130">
            <v>4</v>
          </cell>
          <cell r="H130">
            <v>3</v>
          </cell>
          <cell r="I130">
            <v>4.7777777777777786</v>
          </cell>
          <cell r="J130">
            <v>4.666666666666667</v>
          </cell>
          <cell r="K130">
            <v>4.1666666666666661</v>
          </cell>
          <cell r="L130">
            <v>4.666666666666667</v>
          </cell>
        </row>
        <row r="131">
          <cell r="C131" t="str">
            <v>JOHN FREDY LÓPEZ PÉREZ</v>
          </cell>
          <cell r="D131" t="str">
            <v>FACULTAD DE INGENIERÍAS</v>
          </cell>
          <cell r="E131" t="str">
            <v>DESARROLLO Y AMBIENTE</v>
          </cell>
          <cell r="F131" t="str">
            <v>081</v>
          </cell>
          <cell r="G131">
            <v>4</v>
          </cell>
          <cell r="H131">
            <v>1</v>
          </cell>
          <cell r="I131">
            <v>4.666666666666667</v>
          </cell>
          <cell r="J131">
            <v>4.8571428571428568</v>
          </cell>
          <cell r="K131">
            <v>5</v>
          </cell>
          <cell r="L131">
            <v>5</v>
          </cell>
        </row>
        <row r="132">
          <cell r="C132" t="str">
            <v>JORGE MARIO BERRÍO RESTREPO</v>
          </cell>
          <cell r="D132" t="str">
            <v>FACULTAD DE INGENIERÍAS</v>
          </cell>
          <cell r="E132" t="str">
            <v>PRÁCTICA DE PROCESOS BIOLOGICOS</v>
          </cell>
          <cell r="F132" t="str">
            <v>082</v>
          </cell>
          <cell r="G132">
            <v>14</v>
          </cell>
          <cell r="H132">
            <v>5</v>
          </cell>
          <cell r="I132">
            <v>4.8</v>
          </cell>
          <cell r="J132">
            <v>4.7714285714285714</v>
          </cell>
          <cell r="K132">
            <v>4.55</v>
          </cell>
          <cell r="L132">
            <v>4.8666666666666671</v>
          </cell>
        </row>
        <row r="133">
          <cell r="C133" t="str">
            <v>JORGE MARIO BERRÍO RESTREPO</v>
          </cell>
          <cell r="D133" t="str">
            <v>FACULTAD DE INGENIERÍAS</v>
          </cell>
          <cell r="E133" t="str">
            <v xml:space="preserve">PROCESOS BIOLOGICOS                                         </v>
          </cell>
          <cell r="F133" t="str">
            <v>081</v>
          </cell>
          <cell r="G133">
            <v>14</v>
          </cell>
          <cell r="H133">
            <v>5</v>
          </cell>
          <cell r="I133">
            <v>5</v>
          </cell>
          <cell r="J133">
            <v>5</v>
          </cell>
          <cell r="K133">
            <v>4.95</v>
          </cell>
          <cell r="L133">
            <v>5</v>
          </cell>
        </row>
        <row r="134">
          <cell r="C134" t="str">
            <v>OCTAVIO AUGUSTO GONZÁLEZ MURILLO</v>
          </cell>
          <cell r="D134" t="str">
            <v>FACULTAD DE INGENIERÍAS</v>
          </cell>
          <cell r="E134" t="str">
            <v>DIAGNÓSTICO DE SUELOS</v>
          </cell>
          <cell r="F134" t="str">
            <v>081</v>
          </cell>
          <cell r="G134">
            <v>6</v>
          </cell>
          <cell r="H134">
            <v>3</v>
          </cell>
          <cell r="I134">
            <v>5</v>
          </cell>
          <cell r="J134">
            <v>5</v>
          </cell>
          <cell r="K134">
            <v>5</v>
          </cell>
          <cell r="L134">
            <v>5</v>
          </cell>
        </row>
        <row r="135">
          <cell r="C135" t="str">
            <v>OCTAVIO AUGUSTO GONZÁLEZ MURILLO</v>
          </cell>
          <cell r="D135" t="str">
            <v>FACULTAD DE INGENIERÍAS</v>
          </cell>
          <cell r="E135" t="str">
            <v>TRATAMIENTO DE SUELOS</v>
          </cell>
          <cell r="F135" t="str">
            <v>081</v>
          </cell>
          <cell r="G135">
            <v>14</v>
          </cell>
          <cell r="H135">
            <v>6</v>
          </cell>
          <cell r="I135">
            <v>4.833333333333333</v>
          </cell>
          <cell r="J135">
            <v>4.833333333333333</v>
          </cell>
          <cell r="K135">
            <v>4.833333333333333</v>
          </cell>
          <cell r="L135">
            <v>4.833333333333333</v>
          </cell>
        </row>
        <row r="136">
          <cell r="C136" t="str">
            <v>GABRIEL JAIME MAYA VASCO</v>
          </cell>
          <cell r="D136" t="str">
            <v>FACULTAD DE INGENIERÍAS</v>
          </cell>
          <cell r="E136" t="str">
            <v>GESTÍON INTEGRAL DE RESIDUOS SÓLIDOS</v>
          </cell>
          <cell r="F136" t="str">
            <v>081</v>
          </cell>
          <cell r="G136">
            <v>13</v>
          </cell>
          <cell r="H136">
            <v>5</v>
          </cell>
          <cell r="I136">
            <v>4.7333333333333334</v>
          </cell>
          <cell r="J136">
            <v>4.742857142857142</v>
          </cell>
          <cell r="K136">
            <v>4.75</v>
          </cell>
          <cell r="L136">
            <v>4.7333333333333334</v>
          </cell>
        </row>
        <row r="137">
          <cell r="C137" t="str">
            <v>GABRIEL JAIME MAYA VASCO</v>
          </cell>
          <cell r="D137" t="str">
            <v>FACULTAD DE INGENIERÍAS</v>
          </cell>
          <cell r="E137" t="str">
            <v>CONTAMINACIÓN ATMOSFÉRICA</v>
          </cell>
          <cell r="F137" t="str">
            <v>081</v>
          </cell>
          <cell r="G137">
            <v>8</v>
          </cell>
          <cell r="H137">
            <v>3</v>
          </cell>
          <cell r="I137">
            <v>4.7777777777777786</v>
          </cell>
          <cell r="J137">
            <v>4.8095238095238102</v>
          </cell>
          <cell r="K137">
            <v>4.583333333333333</v>
          </cell>
          <cell r="L137">
            <v>5</v>
          </cell>
        </row>
        <row r="138">
          <cell r="C138" t="str">
            <v>GABRIEL JAIME MAYA VASCO</v>
          </cell>
          <cell r="D138" t="str">
            <v>FACULTAD DE INGENIERÍAS</v>
          </cell>
          <cell r="E138" t="str">
            <v>PRÁCTICA DE CONTAMINACIÓN ATMOSFÉRICA</v>
          </cell>
          <cell r="F138" t="str">
            <v>081</v>
          </cell>
          <cell r="G138">
            <v>8</v>
          </cell>
          <cell r="H138">
            <v>4</v>
          </cell>
          <cell r="I138">
            <v>4.666666666666667</v>
          </cell>
          <cell r="J138">
            <v>4.6428571428571432</v>
          </cell>
          <cell r="K138">
            <v>4.5</v>
          </cell>
          <cell r="L138">
            <v>4.75</v>
          </cell>
        </row>
        <row r="139">
          <cell r="C139" t="str">
            <v>CARLOS ANDRÉS JIMÉNEZ OROZCO</v>
          </cell>
          <cell r="D139" t="str">
            <v>FACULTAD DE INGENIERÍAS</v>
          </cell>
          <cell r="E139" t="str">
            <v>QUÍMICA ANALÍTICA</v>
          </cell>
          <cell r="F139" t="str">
            <v>081</v>
          </cell>
          <cell r="G139">
            <v>11</v>
          </cell>
          <cell r="H139">
            <v>6</v>
          </cell>
          <cell r="I139">
            <v>4.333333333333333</v>
          </cell>
          <cell r="J139">
            <v>4.1904761904761907</v>
          </cell>
          <cell r="K139">
            <v>4.4166666666666661</v>
          </cell>
          <cell r="L139">
            <v>4.333333333333333</v>
          </cell>
        </row>
        <row r="140">
          <cell r="C140" t="str">
            <v>MARÍA ALEJANDRA BEDOYA MAZO</v>
          </cell>
          <cell r="D140" t="str">
            <v>FACULTAD DE INGENIERÍAS</v>
          </cell>
          <cell r="E140" t="str">
            <v>DESARROLLO DE APLICACIONES MÓVILES</v>
          </cell>
          <cell r="F140" t="str">
            <v>061</v>
          </cell>
          <cell r="G140">
            <v>14</v>
          </cell>
          <cell r="H140">
            <v>7</v>
          </cell>
          <cell r="I140">
            <v>3.714285714285714</v>
          </cell>
          <cell r="J140">
            <v>3.6122448979591835</v>
          </cell>
          <cell r="K140">
            <v>3.8928571428571432</v>
          </cell>
          <cell r="L140">
            <v>3.9523809523809526</v>
          </cell>
        </row>
        <row r="141">
          <cell r="C141" t="str">
            <v>MARÍA ALEJANDRA BEDOYA MAZO</v>
          </cell>
          <cell r="D141" t="str">
            <v>FACULTAD DE INGENIERÍAS</v>
          </cell>
          <cell r="E141" t="str">
            <v>DESARROLLO DE APLICACIONES MÓVILES</v>
          </cell>
          <cell r="F141" t="str">
            <v>062</v>
          </cell>
          <cell r="G141">
            <v>17</v>
          </cell>
          <cell r="H141">
            <v>7</v>
          </cell>
          <cell r="I141">
            <v>4.4761904761904754</v>
          </cell>
          <cell r="J141">
            <v>4.4693877551020407</v>
          </cell>
          <cell r="K141">
            <v>4.7857142857142856</v>
          </cell>
          <cell r="L141">
            <v>5</v>
          </cell>
        </row>
        <row r="142">
          <cell r="C142" t="str">
            <v>JOSE IGNACIO LOPEZ VELEZ</v>
          </cell>
          <cell r="D142" t="str">
            <v>FACULTAD DE INGENIERÍAS</v>
          </cell>
          <cell r="E142" t="str">
            <v>GESTIÓN DE LA CONFIGURACIÓN</v>
          </cell>
          <cell r="F142" t="str">
            <v>061</v>
          </cell>
          <cell r="G142">
            <v>14</v>
          </cell>
          <cell r="H142">
            <v>6</v>
          </cell>
          <cell r="I142">
            <v>4.666666666666667</v>
          </cell>
          <cell r="J142">
            <v>4.5714285714285712</v>
          </cell>
          <cell r="K142">
            <v>4.375</v>
          </cell>
          <cell r="L142">
            <v>4.4444444444444446</v>
          </cell>
        </row>
        <row r="143">
          <cell r="C143" t="str">
            <v>JOSE IGNACIO LOPEZ VELEZ</v>
          </cell>
          <cell r="D143" t="str">
            <v>FACULTAD DE INGENIERÍAS</v>
          </cell>
          <cell r="E143" t="str">
            <v>GESTIÓN DE LA CONFIGURACIÓN</v>
          </cell>
          <cell r="F143" t="str">
            <v>062</v>
          </cell>
          <cell r="G143">
            <v>12</v>
          </cell>
          <cell r="H143">
            <v>5</v>
          </cell>
          <cell r="I143">
            <v>4.6000000000000005</v>
          </cell>
          <cell r="J143">
            <v>4.6571428571428575</v>
          </cell>
          <cell r="K143">
            <v>4.6999999999999993</v>
          </cell>
          <cell r="L143">
            <v>4.6666666666666661</v>
          </cell>
        </row>
        <row r="144">
          <cell r="C144" t="str">
            <v>JOSE IGNACIO LOPEZ VELEZ</v>
          </cell>
          <cell r="D144" t="str">
            <v>FACULTAD DE INGENIERÍAS</v>
          </cell>
          <cell r="E144" t="str">
            <v>GESTIÓN DE LA CONFIGURACIÓN</v>
          </cell>
          <cell r="F144" t="str">
            <v>063</v>
          </cell>
          <cell r="G144">
            <v>19</v>
          </cell>
          <cell r="H144">
            <v>16</v>
          </cell>
          <cell r="I144">
            <v>4.770833333333333</v>
          </cell>
          <cell r="J144">
            <v>4.7589285714285712</v>
          </cell>
          <cell r="K144">
            <v>4.640625</v>
          </cell>
          <cell r="L144">
            <v>4.8125</v>
          </cell>
        </row>
        <row r="145">
          <cell r="C145" t="str">
            <v>MARIO ALEJANDRO SALDARRIAGA ÁLVAREZ</v>
          </cell>
          <cell r="D145" t="str">
            <v>FACULTAD DE INGENIERÍAS</v>
          </cell>
          <cell r="E145" t="str">
            <v>ALGORITMOS Y PROGRAMACIÓN ORIENTADA A OBJETOS</v>
          </cell>
          <cell r="F145" t="str">
            <v>065</v>
          </cell>
          <cell r="G145">
            <v>12</v>
          </cell>
          <cell r="H145">
            <v>6</v>
          </cell>
          <cell r="I145">
            <v>4.333333333333333</v>
          </cell>
          <cell r="J145">
            <v>4.5</v>
          </cell>
          <cell r="K145">
            <v>4.375</v>
          </cell>
          <cell r="L145">
            <v>4.333333333333333</v>
          </cell>
        </row>
        <row r="146">
          <cell r="C146" t="str">
            <v>MARIO ALEJANDRO SALDARRIAGA ÁLVAREZ</v>
          </cell>
          <cell r="D146" t="str">
            <v>FACULTAD DE INGENIERÍAS</v>
          </cell>
          <cell r="E146" t="str">
            <v>ALGORITMOS Y PROGRAMACIÓN ORIENTADA A OBJETOS</v>
          </cell>
          <cell r="F146" t="str">
            <v>066</v>
          </cell>
          <cell r="G146">
            <v>13</v>
          </cell>
          <cell r="H146">
            <v>5</v>
          </cell>
          <cell r="I146">
            <v>5</v>
          </cell>
          <cell r="J146">
            <v>4.7428571428571429</v>
          </cell>
          <cell r="K146">
            <v>4.75</v>
          </cell>
          <cell r="L146">
            <v>4.8666666666666663</v>
          </cell>
        </row>
        <row r="147">
          <cell r="C147" t="str">
            <v>MARIO ALEJANDRO SALDARRIAGA ÁLVAREZ</v>
          </cell>
          <cell r="D147" t="str">
            <v>FACULTAD DE INGENIERÍAS</v>
          </cell>
          <cell r="E147" t="str">
            <v>ALGORITMOS Y PROGRAMACIÓN ORIENTADA A OBJETOS</v>
          </cell>
          <cell r="F147" t="str">
            <v>067</v>
          </cell>
          <cell r="G147">
            <v>11</v>
          </cell>
          <cell r="H147">
            <v>4</v>
          </cell>
          <cell r="I147">
            <v>4.5</v>
          </cell>
          <cell r="J147">
            <v>4.75</v>
          </cell>
          <cell r="K147">
            <v>4.75</v>
          </cell>
          <cell r="L147">
            <v>4.75</v>
          </cell>
        </row>
        <row r="148">
          <cell r="C148" t="str">
            <v>JUAN FELIPE LOAIZA RENDON</v>
          </cell>
          <cell r="D148" t="str">
            <v>FACULTAD DE INGENIERÍAS</v>
          </cell>
          <cell r="E148" t="str">
            <v>GESTIÓN DE ADMINISTRACIÓN DE DATOS</v>
          </cell>
          <cell r="F148" t="str">
            <v>061</v>
          </cell>
          <cell r="G148">
            <v>12</v>
          </cell>
          <cell r="H148">
            <v>7</v>
          </cell>
          <cell r="I148">
            <v>4.2857142857142856</v>
          </cell>
          <cell r="J148">
            <v>4.3265306122448974</v>
          </cell>
          <cell r="K148">
            <v>4.25</v>
          </cell>
          <cell r="L148">
            <v>4.0476190476190483</v>
          </cell>
        </row>
        <row r="149">
          <cell r="C149" t="str">
            <v>JUAN FELIPE LOAIZA RENDON</v>
          </cell>
          <cell r="D149" t="str">
            <v>FACULTAD DE INGENIERÍAS</v>
          </cell>
          <cell r="E149" t="str">
            <v>GESTIÓN DE ADMINISTRACIÓN DE DATOS</v>
          </cell>
          <cell r="F149" t="str">
            <v>062</v>
          </cell>
          <cell r="G149">
            <v>16</v>
          </cell>
          <cell r="H149">
            <v>9</v>
          </cell>
          <cell r="I149">
            <v>4.7037037037037033</v>
          </cell>
          <cell r="J149">
            <v>4.6349206349206344</v>
          </cell>
          <cell r="K149">
            <v>4.5277777777777777</v>
          </cell>
          <cell r="L149">
            <v>4.5555555555555554</v>
          </cell>
        </row>
        <row r="150">
          <cell r="C150" t="str">
            <v>NÉSTOR VÉLEZ VARGAS</v>
          </cell>
          <cell r="D150" t="str">
            <v>FACULTAD DE INGENIERÍAS</v>
          </cell>
          <cell r="E150" t="str">
            <v>ESTRUCTURAS DE DATOS DINÁMICAS</v>
          </cell>
          <cell r="F150" t="str">
            <v>067</v>
          </cell>
          <cell r="G150">
            <v>11</v>
          </cell>
          <cell r="H150">
            <v>5</v>
          </cell>
          <cell r="I150">
            <v>4.666666666666667</v>
          </cell>
          <cell r="J150">
            <v>4.9142857142857137</v>
          </cell>
          <cell r="K150">
            <v>4.8500000000000005</v>
          </cell>
          <cell r="L150">
            <v>4.8666666666666671</v>
          </cell>
        </row>
        <row r="151">
          <cell r="C151" t="str">
            <v>DIEGO ALEJANDRO MARÍN ÁLVAREZ</v>
          </cell>
          <cell r="D151" t="str">
            <v>FACULTAD DE INGENIERÍAS</v>
          </cell>
          <cell r="E151" t="str">
            <v>INGENIERÍA DE REQUISITOS</v>
          </cell>
          <cell r="F151" t="str">
            <v>064</v>
          </cell>
          <cell r="G151">
            <v>14</v>
          </cell>
          <cell r="H151">
            <v>6</v>
          </cell>
          <cell r="I151">
            <v>4.7777777777777777</v>
          </cell>
          <cell r="J151">
            <v>4.6428571428571432</v>
          </cell>
          <cell r="K151">
            <v>4.708333333333333</v>
          </cell>
          <cell r="L151">
            <v>4.833333333333333</v>
          </cell>
        </row>
        <row r="152">
          <cell r="C152" t="str">
            <v>DIEGO ALEJANDRO MARÍN ÁLVAREZ</v>
          </cell>
          <cell r="D152" t="str">
            <v>FACULTAD DE INGENIERÍAS</v>
          </cell>
          <cell r="E152" t="str">
            <v>INGENIERÍA DE REQUISITOS</v>
          </cell>
          <cell r="F152" t="str">
            <v>065</v>
          </cell>
          <cell r="G152">
            <v>16</v>
          </cell>
          <cell r="H152">
            <v>5</v>
          </cell>
          <cell r="I152">
            <v>4.8666666666666671</v>
          </cell>
          <cell r="J152">
            <v>4.6571428571428575</v>
          </cell>
          <cell r="K152">
            <v>4.75</v>
          </cell>
          <cell r="L152">
            <v>4.8666666666666671</v>
          </cell>
        </row>
        <row r="153">
          <cell r="C153" t="str">
            <v>DIEGO ELIAN THOMAS URIBE</v>
          </cell>
          <cell r="D153" t="str">
            <v>FACULTAD DE INGENIERÍAS</v>
          </cell>
          <cell r="E153" t="str">
            <v>MODELOS DE DATOS</v>
          </cell>
          <cell r="F153" t="str">
            <v>061</v>
          </cell>
          <cell r="G153">
            <v>11</v>
          </cell>
          <cell r="H153">
            <v>9</v>
          </cell>
          <cell r="I153">
            <v>4.481481481481481</v>
          </cell>
          <cell r="J153">
            <v>4.4126984126984121</v>
          </cell>
          <cell r="K153">
            <v>4.4444444444444446</v>
          </cell>
          <cell r="L153">
            <v>4.5555555555555562</v>
          </cell>
        </row>
        <row r="154">
          <cell r="C154" t="str">
            <v>DIEGO ELIAN THOMAS URIBE</v>
          </cell>
          <cell r="D154" t="str">
            <v>FACULTAD DE INGENIERÍAS</v>
          </cell>
          <cell r="E154" t="str">
            <v>MODELOS DE DATOS</v>
          </cell>
          <cell r="F154" t="str">
            <v>064</v>
          </cell>
          <cell r="G154">
            <v>9</v>
          </cell>
          <cell r="H154">
            <v>3</v>
          </cell>
          <cell r="I154">
            <v>4.2222222222222223</v>
          </cell>
          <cell r="J154">
            <v>4</v>
          </cell>
          <cell r="K154">
            <v>4</v>
          </cell>
          <cell r="L154">
            <v>4</v>
          </cell>
        </row>
        <row r="155">
          <cell r="C155" t="str">
            <v>LEIDY YOANA MEDINA TORRES</v>
          </cell>
          <cell r="D155" t="str">
            <v>FACULTAD DE INGENIERÍAS</v>
          </cell>
          <cell r="E155" t="str">
            <v>ANÁLISIS NUMÉRICO</v>
          </cell>
          <cell r="F155" t="str">
            <v>061</v>
          </cell>
          <cell r="G155">
            <v>15</v>
          </cell>
          <cell r="H155">
            <v>9</v>
          </cell>
          <cell r="I155">
            <v>4.7777777777777786</v>
          </cell>
          <cell r="J155">
            <v>4.666666666666667</v>
          </cell>
          <cell r="K155">
            <v>4.6388888888888893</v>
          </cell>
          <cell r="L155">
            <v>4.6296296296296298</v>
          </cell>
        </row>
        <row r="156">
          <cell r="C156" t="str">
            <v>LEIDY YOANA MEDINA TORRES</v>
          </cell>
          <cell r="D156" t="str">
            <v>FACULTAD DE INGENIERÍAS</v>
          </cell>
          <cell r="E156" t="str">
            <v>ANÁLISIS NUMÉRICO</v>
          </cell>
          <cell r="F156" t="str">
            <v>062</v>
          </cell>
          <cell r="G156">
            <v>14</v>
          </cell>
          <cell r="H156">
            <v>7</v>
          </cell>
          <cell r="I156">
            <v>4.9047619047619042</v>
          </cell>
          <cell r="J156">
            <v>4.9183673469387754</v>
          </cell>
          <cell r="K156">
            <v>4.9285714285714288</v>
          </cell>
          <cell r="L156">
            <v>5</v>
          </cell>
        </row>
        <row r="157">
          <cell r="C157" t="str">
            <v>JUAN ESTEBAN GÓMEZ TIRADO</v>
          </cell>
          <cell r="D157" t="str">
            <v>FACULTAD DE INGENIERÍAS</v>
          </cell>
          <cell r="E157" t="str">
            <v>ALGORITMOS Y PROGRAMACIÓN ORIENTADA A OBJETOS</v>
          </cell>
          <cell r="F157" t="str">
            <v>062</v>
          </cell>
          <cell r="G157">
            <v>19</v>
          </cell>
          <cell r="H157">
            <v>6</v>
          </cell>
          <cell r="I157">
            <v>4.7777777777777777</v>
          </cell>
          <cell r="J157">
            <v>4.6428571428571432</v>
          </cell>
          <cell r="K157">
            <v>4.5</v>
          </cell>
          <cell r="L157">
            <v>4.7222222222222223</v>
          </cell>
        </row>
        <row r="158">
          <cell r="C158" t="str">
            <v>JUAN ESTEBAN GÓMEZ TIRADO</v>
          </cell>
          <cell r="D158" t="str">
            <v>FACULTAD DE INGENIERÍAS</v>
          </cell>
          <cell r="E158" t="str">
            <v>ANÁLISIS Y DISEÑO DE ALGORITMOS</v>
          </cell>
          <cell r="F158" t="str">
            <v>062</v>
          </cell>
          <cell r="G158">
            <v>20</v>
          </cell>
          <cell r="H158">
            <v>11</v>
          </cell>
          <cell r="I158">
            <v>4.5454545454545459</v>
          </cell>
          <cell r="J158">
            <v>4.5324675324675328</v>
          </cell>
          <cell r="K158">
            <v>4.704545454545455</v>
          </cell>
          <cell r="L158">
            <v>4.6060606060606055</v>
          </cell>
        </row>
        <row r="159">
          <cell r="C159" t="str">
            <v>JOHNATHAN MAURICIO CALLE GALLEGO</v>
          </cell>
          <cell r="D159" t="str">
            <v>FACULTAD DE INGENIERÍAS</v>
          </cell>
          <cell r="E159" t="str">
            <v>ESTRUCTURAS DE DATOS DINÁMICAS</v>
          </cell>
          <cell r="F159" t="str">
            <v>061</v>
          </cell>
          <cell r="G159">
            <v>7</v>
          </cell>
          <cell r="H159">
            <v>6</v>
          </cell>
          <cell r="I159">
            <v>4.666666666666667</v>
          </cell>
          <cell r="J159">
            <v>4.3571428571428568</v>
          </cell>
          <cell r="K159">
            <v>4.375</v>
          </cell>
          <cell r="L159">
            <v>4.4444444444444455</v>
          </cell>
        </row>
        <row r="160">
          <cell r="C160" t="str">
            <v>JOHNATHAN MAURICIO CALLE GALLEGO</v>
          </cell>
          <cell r="D160" t="str">
            <v>FACULTAD DE INGENIERÍAS</v>
          </cell>
          <cell r="E160" t="str">
            <v>ESTRUCTURAS DE DATOS DINÁMICAS</v>
          </cell>
          <cell r="F160" t="str">
            <v>062</v>
          </cell>
          <cell r="G160">
            <v>3</v>
          </cell>
          <cell r="H160">
            <v>3</v>
          </cell>
          <cell r="I160">
            <v>4.5555555555555562</v>
          </cell>
          <cell r="J160">
            <v>4.2380952380952381</v>
          </cell>
          <cell r="K160">
            <v>3.9166666666666665</v>
          </cell>
          <cell r="L160">
            <v>4.666666666666667</v>
          </cell>
        </row>
        <row r="161">
          <cell r="C161" t="str">
            <v>JOHNATHAN MAURICIO CALLE GALLEGO</v>
          </cell>
          <cell r="D161" t="str">
            <v>FACULTAD DE INGENIERÍAS</v>
          </cell>
          <cell r="E161" t="str">
            <v>ANÁLISIS Y DISEÑO DE ALGORITMOS</v>
          </cell>
          <cell r="F161" t="str">
            <v>063</v>
          </cell>
          <cell r="G161">
            <v>4</v>
          </cell>
          <cell r="H161">
            <v>6</v>
          </cell>
          <cell r="I161">
            <v>4.666666666666667</v>
          </cell>
          <cell r="J161">
            <v>4.0714285714285712</v>
          </cell>
          <cell r="K161">
            <v>4.083333333333333</v>
          </cell>
          <cell r="L161">
            <v>4.5</v>
          </cell>
        </row>
        <row r="162">
          <cell r="C162" t="str">
            <v>VALERIA MORENO ZAPATA</v>
          </cell>
          <cell r="D162" t="str">
            <v>FACULTAD DE INGENIERÍAS</v>
          </cell>
          <cell r="E162" t="str">
            <v>PROCESOS DE NEGOCIO Y TECNOLOGÍAS DE INFORMACIÓN</v>
          </cell>
          <cell r="F162" t="str">
            <v>064</v>
          </cell>
          <cell r="G162">
            <v>18</v>
          </cell>
          <cell r="H162">
            <v>4</v>
          </cell>
          <cell r="I162">
            <v>5</v>
          </cell>
          <cell r="J162">
            <v>4.8928571428571432</v>
          </cell>
          <cell r="K162">
            <v>5</v>
          </cell>
          <cell r="L162">
            <v>5</v>
          </cell>
        </row>
        <row r="163">
          <cell r="C163" t="str">
            <v>VALERIA MORENO ZAPATA</v>
          </cell>
          <cell r="D163" t="str">
            <v>FACULTAD DE INGENIERÍAS</v>
          </cell>
          <cell r="E163" t="str">
            <v>PROCESOS DE NEGOCIO Y TECNOLOGÍAS DE INFORMACIÓN</v>
          </cell>
          <cell r="F163" t="str">
            <v>065</v>
          </cell>
          <cell r="G163">
            <v>17</v>
          </cell>
          <cell r="H163">
            <v>5</v>
          </cell>
          <cell r="I163">
            <v>4.6666666666666661</v>
          </cell>
          <cell r="J163">
            <v>4.5428571428571427</v>
          </cell>
          <cell r="K163">
            <v>4.55</v>
          </cell>
          <cell r="L163">
            <v>4.5333333333333332</v>
          </cell>
        </row>
        <row r="164">
          <cell r="C164" t="str">
            <v>CAMILO MOLINA CASTAÑO</v>
          </cell>
          <cell r="D164" t="str">
            <v>FACULTAD DE INGENIERÍAS</v>
          </cell>
          <cell r="E164" t="str">
            <v>EMPRENDIMIENTO E INNOVACIÓN EN INGENIERÍA DE SOFTWARE</v>
          </cell>
          <cell r="F164" t="str">
            <v>061</v>
          </cell>
          <cell r="G164">
            <v>21</v>
          </cell>
          <cell r="H164">
            <v>9</v>
          </cell>
          <cell r="I164">
            <v>4.8518518518518521</v>
          </cell>
          <cell r="J164">
            <v>4.8253968253968269</v>
          </cell>
          <cell r="K164">
            <v>4.8055555555555554</v>
          </cell>
          <cell r="L164">
            <v>4.9629629629629628</v>
          </cell>
        </row>
        <row r="165">
          <cell r="C165" t="str">
            <v>CAMILO MOLINA CASTAÑO</v>
          </cell>
          <cell r="D165" t="str">
            <v>FACULTAD DE INGENIERÍAS</v>
          </cell>
          <cell r="E165" t="str">
            <v>EMPRENDIMIENTO E INNOVACIÓN EN INGENIERÍA DE SOFTWARE</v>
          </cell>
          <cell r="F165" t="str">
            <v>062</v>
          </cell>
          <cell r="G165">
            <v>10</v>
          </cell>
          <cell r="H165">
            <v>5</v>
          </cell>
          <cell r="I165">
            <v>4.7333333333333334</v>
          </cell>
          <cell r="J165">
            <v>4.8571428571428568</v>
          </cell>
          <cell r="K165">
            <v>4.75</v>
          </cell>
          <cell r="L165">
            <v>4.8</v>
          </cell>
        </row>
        <row r="166">
          <cell r="C166" t="str">
            <v>LUGEL ENRIQUE FRANCO MIRANDA</v>
          </cell>
          <cell r="D166" t="str">
            <v>FACULTAD DE INGENIERÍAS</v>
          </cell>
          <cell r="E166" t="str">
            <v>DESARROLLO DE APLICACIONES WEB</v>
          </cell>
          <cell r="F166" t="str">
            <v>063</v>
          </cell>
          <cell r="G166">
            <v>15</v>
          </cell>
          <cell r="H166">
            <v>10</v>
          </cell>
          <cell r="I166">
            <v>4.3666666666666671</v>
          </cell>
          <cell r="J166">
            <v>4.4857142857142858</v>
          </cell>
          <cell r="K166">
            <v>4.2</v>
          </cell>
          <cell r="L166">
            <v>4.5</v>
          </cell>
        </row>
        <row r="167">
          <cell r="C167" t="str">
            <v>SANDRA MILENA CARMONA BARRERA</v>
          </cell>
          <cell r="D167" t="str">
            <v>FACULTAD DE INGENIERÍAS</v>
          </cell>
          <cell r="E167" t="str">
            <v>ESTRUCTURAS DE DATOS DINÁMICAS</v>
          </cell>
          <cell r="F167" t="str">
            <v>065</v>
          </cell>
          <cell r="G167">
            <v>11</v>
          </cell>
          <cell r="H167">
            <v>6</v>
          </cell>
          <cell r="I167">
            <v>4.8888888888888884</v>
          </cell>
          <cell r="J167">
            <v>4.8571428571428568</v>
          </cell>
          <cell r="K167">
            <v>4.541666666666667</v>
          </cell>
          <cell r="L167">
            <v>4.833333333333333</v>
          </cell>
        </row>
        <row r="168">
          <cell r="C168" t="str">
            <v>SANDRA MILENA CARMONA BARRERA</v>
          </cell>
          <cell r="D168" t="str">
            <v>FACULTAD DE INGENIERÍAS</v>
          </cell>
          <cell r="E168" t="str">
            <v>ESTRUCTURAS DE DATOS DINÁMICAS</v>
          </cell>
          <cell r="F168" t="str">
            <v>066</v>
          </cell>
          <cell r="G168">
            <v>9</v>
          </cell>
          <cell r="H168">
            <v>8</v>
          </cell>
          <cell r="I168">
            <v>4.583333333333333</v>
          </cell>
          <cell r="J168">
            <v>4.3571428571428568</v>
          </cell>
          <cell r="K168">
            <v>4.1875</v>
          </cell>
          <cell r="L168">
            <v>4.541666666666667</v>
          </cell>
        </row>
        <row r="169">
          <cell r="C169" t="str">
            <v>EUGENIO LEÓN URIBE URIBE</v>
          </cell>
          <cell r="D169" t="str">
            <v>FACULTAD DE INGENIERÍAS</v>
          </cell>
          <cell r="E169" t="str">
            <v>MODELOS DE DATOS</v>
          </cell>
          <cell r="F169" t="str">
            <v>062</v>
          </cell>
          <cell r="G169">
            <v>14</v>
          </cell>
          <cell r="H169">
            <v>10</v>
          </cell>
          <cell r="I169">
            <v>4.833333333333333</v>
          </cell>
          <cell r="J169">
            <v>4.8571428571428568</v>
          </cell>
          <cell r="K169">
            <v>4.7750000000000004</v>
          </cell>
          <cell r="L169">
            <v>4.833333333333333</v>
          </cell>
        </row>
        <row r="170">
          <cell r="C170" t="str">
            <v>EUGENIO LEÓN URIBE URIBE</v>
          </cell>
          <cell r="D170" t="str">
            <v>FACULTAD DE INGENIERÍAS</v>
          </cell>
          <cell r="E170" t="str">
            <v>GESTIÓN DE ADMINISTRACIÓN DE DATOS</v>
          </cell>
          <cell r="F170" t="str">
            <v>063</v>
          </cell>
          <cell r="G170">
            <v>17</v>
          </cell>
          <cell r="H170">
            <v>8</v>
          </cell>
          <cell r="I170">
            <v>4.75</v>
          </cell>
          <cell r="J170">
            <v>4.7142857142857144</v>
          </cell>
          <cell r="K170">
            <v>4.125</v>
          </cell>
          <cell r="L170">
            <v>4.958333333333333</v>
          </cell>
        </row>
        <row r="171">
          <cell r="C171" t="str">
            <v>JENNY CUATINDIOY IMBACHI</v>
          </cell>
          <cell r="D171" t="str">
            <v>FACULTAD DE INGENIERÍAS</v>
          </cell>
          <cell r="E171" t="str">
            <v>REDES Y COMUNICACIONES IP</v>
          </cell>
          <cell r="F171" t="str">
            <v>061</v>
          </cell>
          <cell r="G171">
            <v>18</v>
          </cell>
          <cell r="H171">
            <v>10</v>
          </cell>
          <cell r="I171">
            <v>4.6000000000000005</v>
          </cell>
          <cell r="J171">
            <v>4.6428571428571432</v>
          </cell>
          <cell r="K171">
            <v>4.625</v>
          </cell>
          <cell r="L171">
            <v>4.666666666666667</v>
          </cell>
        </row>
        <row r="172">
          <cell r="C172" t="str">
            <v>JENNY CUATINDIOY IMBACHI</v>
          </cell>
          <cell r="D172" t="str">
            <v>FACULTAD DE INGENIERÍAS</v>
          </cell>
          <cell r="E172" t="str">
            <v>REDES Y COMUNICACIONES IP</v>
          </cell>
          <cell r="F172" t="str">
            <v>062</v>
          </cell>
          <cell r="G172">
            <v>19</v>
          </cell>
          <cell r="H172">
            <v>4</v>
          </cell>
          <cell r="I172">
            <v>4.416666666666667</v>
          </cell>
          <cell r="J172">
            <v>4.6428571428571432</v>
          </cell>
          <cell r="K172">
            <v>4.875</v>
          </cell>
          <cell r="L172">
            <v>4.75</v>
          </cell>
        </row>
        <row r="173">
          <cell r="C173" t="str">
            <v>BELL MANRIQUE LOSADA</v>
          </cell>
          <cell r="D173" t="str">
            <v>FACULTAD DE INGENIERÍAS</v>
          </cell>
          <cell r="E173" t="str">
            <v>FUNDAMENTOS DE DISEÑO DE SOFTWARE</v>
          </cell>
          <cell r="F173" t="str">
            <v>061</v>
          </cell>
          <cell r="G173">
            <v>18</v>
          </cell>
          <cell r="H173">
            <v>6</v>
          </cell>
          <cell r="I173">
            <v>4.3888888888888893</v>
          </cell>
          <cell r="J173">
            <v>4.3095238095238093</v>
          </cell>
          <cell r="K173">
            <v>4.291666666666667</v>
          </cell>
          <cell r="L173">
            <v>4.166666666666667</v>
          </cell>
        </row>
        <row r="174">
          <cell r="C174" t="str">
            <v>LUISA FERNANDA VILLA MONTOYA</v>
          </cell>
          <cell r="D174" t="str">
            <v>FACULTAD DE INGENIERÍAS</v>
          </cell>
          <cell r="E174" t="str">
            <v>INVESTIGACIÓN DE OPERACIONES</v>
          </cell>
          <cell r="F174" t="str">
            <v>061</v>
          </cell>
          <cell r="G174">
            <v>12</v>
          </cell>
          <cell r="H174">
            <v>6</v>
          </cell>
          <cell r="I174">
            <v>4.833333333333333</v>
          </cell>
          <cell r="J174">
            <v>4.7142857142857144</v>
          </cell>
          <cell r="K174">
            <v>4.333333333333333</v>
          </cell>
          <cell r="L174">
            <v>5</v>
          </cell>
        </row>
        <row r="175">
          <cell r="C175" t="str">
            <v>LUISA FERNANDA VILLA MONTOYA</v>
          </cell>
          <cell r="D175" t="str">
            <v>FACULTAD DE INGENIERÍAS</v>
          </cell>
          <cell r="E175" t="str">
            <v>INVESTIGACIÓN DE OPERACIONES</v>
          </cell>
          <cell r="F175" t="str">
            <v>062</v>
          </cell>
          <cell r="G175">
            <v>14</v>
          </cell>
          <cell r="H175">
            <v>5</v>
          </cell>
          <cell r="I175">
            <v>4.8</v>
          </cell>
          <cell r="J175">
            <v>4.8</v>
          </cell>
          <cell r="K175">
            <v>4.8</v>
          </cell>
          <cell r="L175">
            <v>4.8</v>
          </cell>
        </row>
        <row r="176">
          <cell r="C176" t="str">
            <v>LUISA FERNANDA VILLA MONTOYA</v>
          </cell>
          <cell r="D176" t="str">
            <v>FACULTAD DE INGENIERÍAS</v>
          </cell>
          <cell r="E176" t="str">
            <v>INVESTIGACIÓN DE OPERACIONES</v>
          </cell>
          <cell r="F176" t="str">
            <v>063</v>
          </cell>
          <cell r="G176">
            <v>8</v>
          </cell>
          <cell r="H176">
            <v>3</v>
          </cell>
          <cell r="I176">
            <v>5</v>
          </cell>
          <cell r="J176">
            <v>4.5238095238095237</v>
          </cell>
          <cell r="K176">
            <v>4.583333333333333</v>
          </cell>
          <cell r="L176">
            <v>4.666666666666667</v>
          </cell>
        </row>
        <row r="177">
          <cell r="C177" t="str">
            <v>GLORIA PIEDAD GASCA HURTADO</v>
          </cell>
          <cell r="D177" t="str">
            <v>FACULTAD DE INGENIERÍAS</v>
          </cell>
          <cell r="E177" t="str">
            <v>PROCESOS DE NEGOCIO Y TECNOLOGÍAS DE INFORMACIÓN</v>
          </cell>
          <cell r="F177" t="str">
            <v>061</v>
          </cell>
          <cell r="G177">
            <v>15</v>
          </cell>
          <cell r="H177">
            <v>2</v>
          </cell>
          <cell r="I177">
            <v>4.833333333333333</v>
          </cell>
          <cell r="J177">
            <v>4.7857142857142856</v>
          </cell>
          <cell r="K177">
            <v>4.375</v>
          </cell>
          <cell r="L177">
            <v>4.5</v>
          </cell>
        </row>
        <row r="178">
          <cell r="C178" t="str">
            <v>GLORIA PIEDAD GASCA HURTADO</v>
          </cell>
          <cell r="D178" t="str">
            <v>FACULTAD DE INGENIERÍAS</v>
          </cell>
          <cell r="E178" t="str">
            <v>GESTIÓN DE PROYECTOS INFORMÁTICOS</v>
          </cell>
          <cell r="F178" t="str">
            <v>061</v>
          </cell>
          <cell r="G178">
            <v>19</v>
          </cell>
          <cell r="H178">
            <v>7</v>
          </cell>
          <cell r="I178">
            <v>4.5714285714285712</v>
          </cell>
          <cell r="J178">
            <v>4.4897959183673475</v>
          </cell>
          <cell r="K178">
            <v>4.4642857142857144</v>
          </cell>
          <cell r="L178">
            <v>4.1904761904761907</v>
          </cell>
        </row>
        <row r="179">
          <cell r="C179" t="str">
            <v>GLORIA PIEDAD GASCA HURTADO</v>
          </cell>
          <cell r="D179" t="str">
            <v>FACULTAD DE INGENIERÍAS</v>
          </cell>
          <cell r="E179" t="str">
            <v>GESTIÓN DE PROYECTOS INFORMÁTICOS</v>
          </cell>
          <cell r="F179" t="str">
            <v>062</v>
          </cell>
          <cell r="G179">
            <v>15</v>
          </cell>
          <cell r="H179">
            <v>2</v>
          </cell>
          <cell r="I179">
            <v>5</v>
          </cell>
          <cell r="J179">
            <v>5</v>
          </cell>
          <cell r="K179">
            <v>5</v>
          </cell>
          <cell r="L179">
            <v>5</v>
          </cell>
        </row>
        <row r="180">
          <cell r="C180" t="str">
            <v>GILDARDO ANTONIO ORREGO VILLA</v>
          </cell>
          <cell r="D180" t="str">
            <v>FACULTAD DE INGENIERÍAS</v>
          </cell>
          <cell r="E180" t="str">
            <v>MATEMÁTICAS DISCRETAS</v>
          </cell>
          <cell r="F180" t="str">
            <v>061</v>
          </cell>
          <cell r="G180">
            <v>19</v>
          </cell>
          <cell r="H180">
            <v>5</v>
          </cell>
          <cell r="I180">
            <v>4.5333333333333332</v>
          </cell>
          <cell r="J180">
            <v>4.1714285714285717</v>
          </cell>
          <cell r="K180">
            <v>4.1500000000000004</v>
          </cell>
          <cell r="L180">
            <v>4.5333333333333341</v>
          </cell>
        </row>
        <row r="181">
          <cell r="C181" t="str">
            <v>GILDARDO ANTONIO ORREGO VILLA</v>
          </cell>
          <cell r="D181" t="str">
            <v>FACULTAD DE INGENIERÍAS</v>
          </cell>
          <cell r="E181" t="str">
            <v>MATEMÁTICAS DISCRETAS</v>
          </cell>
          <cell r="F181" t="str">
            <v>062</v>
          </cell>
          <cell r="G181">
            <v>26</v>
          </cell>
          <cell r="H181">
            <v>5</v>
          </cell>
          <cell r="I181">
            <v>4.3333333333333339</v>
          </cell>
          <cell r="J181">
            <v>4.2285714285714286</v>
          </cell>
          <cell r="K181">
            <v>4.3499999999999996</v>
          </cell>
          <cell r="L181">
            <v>4.2</v>
          </cell>
        </row>
        <row r="182">
          <cell r="C182" t="str">
            <v>GILDARDO ANTONIO ORREGO VILLA</v>
          </cell>
          <cell r="D182" t="str">
            <v>FACULTAD DE INGENIERÍAS</v>
          </cell>
          <cell r="E182" t="str">
            <v>MATEMÁTICAS DISCRETAS</v>
          </cell>
          <cell r="F182" t="str">
            <v>063</v>
          </cell>
          <cell r="G182">
            <v>31</v>
          </cell>
          <cell r="H182">
            <v>9</v>
          </cell>
          <cell r="I182">
            <v>4.7037037037037033</v>
          </cell>
          <cell r="J182">
            <v>4.6190476190476186</v>
          </cell>
          <cell r="K182">
            <v>4.7222222222222223</v>
          </cell>
          <cell r="L182">
            <v>4.666666666666667</v>
          </cell>
        </row>
        <row r="183">
          <cell r="C183" t="str">
            <v>JOSÉ JULIÁN ZAPATA ARBELÁEZ</v>
          </cell>
          <cell r="D183" t="str">
            <v>FACULTAD DE INGENIERÍAS</v>
          </cell>
          <cell r="E183" t="str">
            <v>DESARROLLO DE APLICACIONES WEB</v>
          </cell>
          <cell r="F183" t="str">
            <v>061</v>
          </cell>
          <cell r="G183">
            <v>10</v>
          </cell>
          <cell r="H183">
            <v>5</v>
          </cell>
          <cell r="I183">
            <v>4.6666666666666661</v>
          </cell>
          <cell r="J183">
            <v>4.8571428571428568</v>
          </cell>
          <cell r="K183">
            <v>4.75</v>
          </cell>
          <cell r="L183">
            <v>4.666666666666667</v>
          </cell>
        </row>
        <row r="184">
          <cell r="C184" t="str">
            <v>JOSÉ JULIÁN ZAPATA ARBELÁEZ</v>
          </cell>
          <cell r="D184" t="str">
            <v>FACULTAD DE INGENIERÍAS</v>
          </cell>
          <cell r="E184" t="str">
            <v>DESARROLLO DE APLICACIONES WEB</v>
          </cell>
          <cell r="F184" t="str">
            <v>062</v>
          </cell>
          <cell r="G184">
            <v>18</v>
          </cell>
          <cell r="H184">
            <v>10</v>
          </cell>
          <cell r="I184">
            <v>4.2333333333333334</v>
          </cell>
          <cell r="J184">
            <v>4.4714285714285715</v>
          </cell>
          <cell r="K184">
            <v>4.4749999999999996</v>
          </cell>
          <cell r="L184">
            <v>4.3666666666666663</v>
          </cell>
        </row>
        <row r="185">
          <cell r="C185" t="str">
            <v>MAURICIO GONZÁLEZ PALACIO</v>
          </cell>
          <cell r="D185" t="str">
            <v>FACULTAD DE INGENIERÍAS</v>
          </cell>
          <cell r="E185" t="str">
            <v>ELECTRÓNICA DIGITAL</v>
          </cell>
          <cell r="F185" t="str">
            <v>062</v>
          </cell>
          <cell r="G185">
            <v>19</v>
          </cell>
          <cell r="H185">
            <v>9</v>
          </cell>
          <cell r="I185">
            <v>4.8888888888888893</v>
          </cell>
          <cell r="J185">
            <v>4.8730158730158735</v>
          </cell>
          <cell r="K185">
            <v>4.8333333333333339</v>
          </cell>
          <cell r="L185">
            <v>4.6296296296296298</v>
          </cell>
        </row>
        <row r="186">
          <cell r="C186" t="str">
            <v>JUAN CAMILO GUTIÉRREZ GALLEGO</v>
          </cell>
          <cell r="D186" t="str">
            <v>FACULTAD DE INGENIERÍAS</v>
          </cell>
          <cell r="E186" t="str">
            <v>CIBERSEGURIDAD</v>
          </cell>
          <cell r="F186" t="str">
            <v>061</v>
          </cell>
          <cell r="G186">
            <v>9</v>
          </cell>
          <cell r="H186">
            <v>4</v>
          </cell>
          <cell r="I186">
            <v>5</v>
          </cell>
          <cell r="J186">
            <v>4.9642857142857144</v>
          </cell>
          <cell r="K186">
            <v>4.9375</v>
          </cell>
          <cell r="L186">
            <v>5</v>
          </cell>
        </row>
        <row r="187">
          <cell r="C187" t="str">
            <v>JUAN CAMILO GUTIÉRREZ GALLEGO</v>
          </cell>
          <cell r="D187" t="str">
            <v>FACULTAD DE INGENIERÍAS</v>
          </cell>
          <cell r="E187" t="str">
            <v>CIBERSEGURIDAD</v>
          </cell>
          <cell r="F187" t="str">
            <v>062</v>
          </cell>
          <cell r="G187">
            <v>16</v>
          </cell>
          <cell r="H187">
            <v>7</v>
          </cell>
          <cell r="I187">
            <v>4.1904761904761907</v>
          </cell>
          <cell r="J187">
            <v>3.6530612244897962</v>
          </cell>
          <cell r="K187">
            <v>3.7500000000000004</v>
          </cell>
          <cell r="L187">
            <v>4.2380952380952381</v>
          </cell>
        </row>
        <row r="188">
          <cell r="C188" t="str">
            <v>DAVID ESTEBAN SIERRA TOBÓN</v>
          </cell>
          <cell r="D188" t="str">
            <v>FACULTAD DE INGENIERÍAS</v>
          </cell>
          <cell r="E188" t="str">
            <v>INFRAESTRUCTURA TECNOLÓGICA</v>
          </cell>
          <cell r="F188" t="str">
            <v>061</v>
          </cell>
          <cell r="G188">
            <v>18</v>
          </cell>
          <cell r="H188">
            <v>9</v>
          </cell>
          <cell r="I188">
            <v>4.666666666666667</v>
          </cell>
          <cell r="J188">
            <v>4.5396825396825404</v>
          </cell>
          <cell r="K188">
            <v>4.6388888888888893</v>
          </cell>
          <cell r="L188">
            <v>4.666666666666667</v>
          </cell>
        </row>
        <row r="189">
          <cell r="C189" t="str">
            <v>DAVID ESTEBAN SIERRA TOBÓN</v>
          </cell>
          <cell r="D189" t="str">
            <v>FACULTAD DE INGENIERÍAS</v>
          </cell>
          <cell r="E189" t="str">
            <v>INFRAESTRUCTURA TECNOLÓGICA</v>
          </cell>
          <cell r="F189" t="str">
            <v>062</v>
          </cell>
          <cell r="G189">
            <v>7</v>
          </cell>
          <cell r="H189">
            <v>2</v>
          </cell>
          <cell r="I189">
            <v>5</v>
          </cell>
          <cell r="J189">
            <v>5</v>
          </cell>
          <cell r="K189">
            <v>5</v>
          </cell>
          <cell r="L189">
            <v>5</v>
          </cell>
        </row>
        <row r="190">
          <cell r="C190" t="str">
            <v>DIEGO MARTÍN BUITRAGO BOTERO</v>
          </cell>
          <cell r="D190" t="str">
            <v>FACULTAD DE INGENIERÍAS</v>
          </cell>
          <cell r="E190" t="str">
            <v>LEGISLACIÓN</v>
          </cell>
          <cell r="F190" t="str">
            <v>061</v>
          </cell>
          <cell r="G190">
            <v>28</v>
          </cell>
          <cell r="H190">
            <v>9</v>
          </cell>
          <cell r="I190">
            <v>4.333333333333333</v>
          </cell>
          <cell r="J190">
            <v>4.3174603174603172</v>
          </cell>
          <cell r="K190">
            <v>4.3055555555555554</v>
          </cell>
          <cell r="L190">
            <v>4.3703703703703702</v>
          </cell>
        </row>
        <row r="191">
          <cell r="C191" t="str">
            <v>DIEGO MARTÍN BUITRAGO BOTERO</v>
          </cell>
          <cell r="D191" t="str">
            <v>FACULTAD DE INGENIERÍAS</v>
          </cell>
          <cell r="E191" t="str">
            <v>LEGISLACIÓN</v>
          </cell>
          <cell r="F191" t="str">
            <v>062</v>
          </cell>
          <cell r="G191">
            <v>35</v>
          </cell>
          <cell r="H191">
            <v>20</v>
          </cell>
          <cell r="I191">
            <v>4.8166666666666664</v>
          </cell>
          <cell r="J191">
            <v>4.7000000000000011</v>
          </cell>
          <cell r="K191">
            <v>4.7125000000000004</v>
          </cell>
          <cell r="L191">
            <v>4.7833333333333332</v>
          </cell>
        </row>
        <row r="192">
          <cell r="C192" t="str">
            <v>WILLIAM DAVID VELÁSQUEZ RAMÍREZ</v>
          </cell>
          <cell r="D192" t="str">
            <v>FACULTAD DE INGENIERÍAS</v>
          </cell>
          <cell r="E192" t="str">
            <v>LENGUAJES DE PROGRAMACIÓN Y CÓDIGO LIMPIO</v>
          </cell>
          <cell r="F192" t="str">
            <v>061</v>
          </cell>
          <cell r="G192">
            <v>9</v>
          </cell>
          <cell r="H192">
            <v>3</v>
          </cell>
          <cell r="I192">
            <v>5</v>
          </cell>
          <cell r="J192">
            <v>4.9523809523809534</v>
          </cell>
          <cell r="K192">
            <v>4.75</v>
          </cell>
          <cell r="L192">
            <v>4.8888888888888893</v>
          </cell>
        </row>
        <row r="193">
          <cell r="C193" t="str">
            <v>WILLIAM DAVID VELÁSQUEZ RAMÍREZ</v>
          </cell>
          <cell r="D193" t="str">
            <v>FACULTAD DE INGENIERÍAS</v>
          </cell>
          <cell r="E193" t="str">
            <v>LENGUAJES DE PROGRAMACIÓN Y CÓDIGO LIMPIO</v>
          </cell>
          <cell r="F193" t="str">
            <v>064</v>
          </cell>
          <cell r="G193">
            <v>15</v>
          </cell>
          <cell r="H193">
            <v>10</v>
          </cell>
          <cell r="I193">
            <v>4.0666666666666664</v>
          </cell>
          <cell r="J193">
            <v>3.9</v>
          </cell>
          <cell r="K193">
            <v>3.7750000000000004</v>
          </cell>
          <cell r="L193">
            <v>3.9</v>
          </cell>
        </row>
        <row r="194">
          <cell r="C194" t="str">
            <v>JHON JAIR QUIZA MONTEALEGRE</v>
          </cell>
          <cell r="D194" t="str">
            <v>FACULTAD DE INGENIERÍAS</v>
          </cell>
          <cell r="E194" t="str">
            <v>ANÁLISIS PREDICTIVO DE DATOS</v>
          </cell>
          <cell r="F194" t="str">
            <v>061</v>
          </cell>
          <cell r="G194">
            <v>18</v>
          </cell>
          <cell r="H194">
            <v>6</v>
          </cell>
          <cell r="I194">
            <v>4.666666666666667</v>
          </cell>
          <cell r="J194">
            <v>4.1666666666666661</v>
          </cell>
          <cell r="K194">
            <v>4.416666666666667</v>
          </cell>
          <cell r="L194">
            <v>4.666666666666667</v>
          </cell>
        </row>
        <row r="195">
          <cell r="C195" t="str">
            <v>JHON JAIR QUIZA MONTEALEGRE</v>
          </cell>
          <cell r="D195" t="str">
            <v>FACULTAD DE INGENIERÍAS</v>
          </cell>
          <cell r="E195" t="str">
            <v>ANÁLISIS PREDICTIVO DE DATOS</v>
          </cell>
          <cell r="F195" t="str">
            <v>062</v>
          </cell>
          <cell r="G195">
            <v>18</v>
          </cell>
          <cell r="H195">
            <v>6</v>
          </cell>
          <cell r="I195">
            <v>4.6111111111111116</v>
          </cell>
          <cell r="J195">
            <v>4.4523809523809517</v>
          </cell>
          <cell r="K195">
            <v>4.5</v>
          </cell>
          <cell r="L195">
            <v>4.5555555555555562</v>
          </cell>
        </row>
        <row r="196">
          <cell r="C196" t="str">
            <v>DAVID ÁLVAREZ AGUDELO</v>
          </cell>
          <cell r="D196" t="str">
            <v>FACULTAD DE INGENIERÍAS</v>
          </cell>
          <cell r="E196" t="str">
            <v>PROCESOS DE NEGOCIO Y TECNOLOGÍAS DE INFORMACIÓN</v>
          </cell>
          <cell r="F196" t="str">
            <v>062</v>
          </cell>
          <cell r="G196">
            <v>16</v>
          </cell>
          <cell r="H196">
            <v>2</v>
          </cell>
          <cell r="I196">
            <v>5</v>
          </cell>
          <cell r="J196">
            <v>5</v>
          </cell>
          <cell r="K196">
            <v>5</v>
          </cell>
          <cell r="L196">
            <v>5</v>
          </cell>
        </row>
        <row r="197">
          <cell r="C197" t="str">
            <v>DAVID ÁLVAREZ AGUDELO</v>
          </cell>
          <cell r="D197" t="str">
            <v>FACULTAD DE INGENIERÍAS</v>
          </cell>
          <cell r="E197" t="str">
            <v>PROCESOS DE NEGOCIO Y TECNOLOGÍAS DE INFORMACIÓN</v>
          </cell>
          <cell r="F197" t="str">
            <v>063</v>
          </cell>
          <cell r="G197">
            <v>19</v>
          </cell>
          <cell r="H197">
            <v>3</v>
          </cell>
          <cell r="I197">
            <v>5</v>
          </cell>
          <cell r="J197">
            <v>4.9047619047619051</v>
          </cell>
          <cell r="K197">
            <v>5</v>
          </cell>
          <cell r="L197">
            <v>5</v>
          </cell>
        </row>
        <row r="198">
          <cell r="C198" t="str">
            <v>JESÚS ANDRÉS HINCAPIÉ LONDOÑO</v>
          </cell>
          <cell r="D198" t="str">
            <v>FACULTAD DE INGENIERÍAS</v>
          </cell>
          <cell r="E198" t="str">
            <v>ALGORITMOS Y PROGRAMACIÓN ORIENTADA A OBJETOS</v>
          </cell>
          <cell r="F198" t="str">
            <v>061</v>
          </cell>
          <cell r="G198">
            <v>7</v>
          </cell>
          <cell r="H198">
            <v>3</v>
          </cell>
          <cell r="I198">
            <v>3.6666666666666665</v>
          </cell>
          <cell r="J198">
            <v>3.4761904761904767</v>
          </cell>
          <cell r="K198">
            <v>3.416666666666667</v>
          </cell>
          <cell r="L198">
            <v>3.2222222222222219</v>
          </cell>
        </row>
        <row r="199">
          <cell r="C199" t="str">
            <v>JESÚS ANDRÉS HINCAPIÉ LONDOÑO</v>
          </cell>
          <cell r="D199" t="str">
            <v>FACULTAD DE INGENIERÍAS</v>
          </cell>
          <cell r="E199" t="str">
            <v>ALGORITMOS Y PROGRAMACIÓN ORIENTADA A OBJETOS</v>
          </cell>
          <cell r="F199" t="str">
            <v>063</v>
          </cell>
          <cell r="G199">
            <v>9</v>
          </cell>
          <cell r="H199">
            <v>3</v>
          </cell>
          <cell r="I199">
            <v>3.7777777777777772</v>
          </cell>
          <cell r="J199">
            <v>3.3333333333333335</v>
          </cell>
          <cell r="K199">
            <v>3.166666666666667</v>
          </cell>
          <cell r="L199">
            <v>3.3333333333333335</v>
          </cell>
        </row>
        <row r="200">
          <cell r="C200" t="str">
            <v>JUAN GUILLERMO FLÓREZ GAVIRIA</v>
          </cell>
          <cell r="D200" t="str">
            <v>FACULTAD DE INGENIERÍAS</v>
          </cell>
          <cell r="E200" t="str">
            <v>LENGUAJES Y PARADIGMAS DE PROGRAMACIÓN</v>
          </cell>
          <cell r="F200" t="str">
            <v>061</v>
          </cell>
          <cell r="G200">
            <v>17</v>
          </cell>
          <cell r="H200">
            <v>11</v>
          </cell>
          <cell r="I200">
            <v>4.5454545454545459</v>
          </cell>
          <cell r="J200">
            <v>4.4285714285714288</v>
          </cell>
          <cell r="K200">
            <v>4.5000000000000009</v>
          </cell>
          <cell r="L200">
            <v>4.4242424242424248</v>
          </cell>
        </row>
        <row r="201">
          <cell r="C201" t="str">
            <v>JUAN GUILLERMO FLÓREZ GAVIRIA</v>
          </cell>
          <cell r="D201" t="str">
            <v>FACULTAD DE INGENIERÍAS</v>
          </cell>
          <cell r="E201" t="str">
            <v>LENGUAJES Y PARADIGMAS DE PROGRAMACIÓN</v>
          </cell>
          <cell r="F201" t="str">
            <v>062</v>
          </cell>
          <cell r="G201">
            <v>15</v>
          </cell>
          <cell r="H201">
            <v>4</v>
          </cell>
          <cell r="I201">
            <v>4.416666666666667</v>
          </cell>
          <cell r="J201">
            <v>4.6785714285714288</v>
          </cell>
          <cell r="K201">
            <v>4.75</v>
          </cell>
          <cell r="L201">
            <v>4.583333333333333</v>
          </cell>
        </row>
        <row r="202">
          <cell r="C202" t="str">
            <v>ANTONIO JESÚS TAMAYO HERRERA</v>
          </cell>
          <cell r="D202" t="str">
            <v>FACULTAD DE INGENIERÍAS</v>
          </cell>
          <cell r="E202" t="str">
            <v>ÉNFASIS III: INTELIGENCIA ARTIFICIAL</v>
          </cell>
          <cell r="F202" t="str">
            <v>061</v>
          </cell>
          <cell r="G202">
            <v>6</v>
          </cell>
          <cell r="H202">
            <v>2</v>
          </cell>
          <cell r="I202">
            <v>5</v>
          </cell>
          <cell r="J202">
            <v>5</v>
          </cell>
          <cell r="K202">
            <v>5</v>
          </cell>
          <cell r="L202">
            <v>5</v>
          </cell>
        </row>
        <row r="203">
          <cell r="C203" t="str">
            <v>VLADIMIR RUEDA BERMÚDEZ</v>
          </cell>
          <cell r="D203" t="str">
            <v>FACULTAD DE INGENIERÍAS</v>
          </cell>
          <cell r="E203" t="str">
            <v>FUNDAMENTOS DE DISEÑO DE SOFTWARE</v>
          </cell>
          <cell r="F203" t="str">
            <v>065</v>
          </cell>
          <cell r="G203">
            <v>9</v>
          </cell>
          <cell r="H203">
            <v>3</v>
          </cell>
          <cell r="I203">
            <v>4.333333333333333</v>
          </cell>
          <cell r="J203">
            <v>4.5238095238095237</v>
          </cell>
          <cell r="K203">
            <v>4.75</v>
          </cell>
          <cell r="L203">
            <v>5</v>
          </cell>
        </row>
        <row r="204">
          <cell r="C204" t="str">
            <v>GABRIEL MAURICIO RAMÍREZ VILLEGAS</v>
          </cell>
          <cell r="D204" t="str">
            <v>FACULTAD DE INGENIERÍAS</v>
          </cell>
          <cell r="E204" t="str">
            <v>FUNDAMENTOS DE DISEÑO DE SOFTWARE</v>
          </cell>
          <cell r="F204" t="str">
            <v>064</v>
          </cell>
          <cell r="G204">
            <v>17</v>
          </cell>
          <cell r="H204">
            <v>11</v>
          </cell>
          <cell r="I204">
            <v>4.333333333333333</v>
          </cell>
          <cell r="J204">
            <v>3.9610389610389602</v>
          </cell>
          <cell r="K204">
            <v>3.9999999999999996</v>
          </cell>
          <cell r="L204">
            <v>4.1212121212121211</v>
          </cell>
        </row>
        <row r="205">
          <cell r="C205" t="str">
            <v>GABRIEL MAURICIO RAMÍREZ VILLEGAS</v>
          </cell>
          <cell r="D205" t="str">
            <v>FACULTAD DE INGENIERÍAS</v>
          </cell>
          <cell r="E205" t="str">
            <v>VALIDACIÓN Y VERIFICACIÓN DE SOFTWARE</v>
          </cell>
          <cell r="F205" t="str">
            <v>061</v>
          </cell>
          <cell r="G205">
            <v>19</v>
          </cell>
          <cell r="H205">
            <v>10</v>
          </cell>
          <cell r="I205">
            <v>4.8000000000000007</v>
          </cell>
          <cell r="J205">
            <v>4.8</v>
          </cell>
          <cell r="K205">
            <v>4.75</v>
          </cell>
          <cell r="L205">
            <v>4.6000000000000005</v>
          </cell>
        </row>
        <row r="206">
          <cell r="C206" t="str">
            <v>GABRIEL MAURICIO RAMÍREZ VILLEGAS</v>
          </cell>
          <cell r="D206" t="str">
            <v>FACULTAD DE INGENIERÍAS</v>
          </cell>
          <cell r="E206" t="str">
            <v>VALIDACIÓN Y VERIFICACIÓN DE SOFTWARE</v>
          </cell>
          <cell r="F206" t="str">
            <v>062</v>
          </cell>
          <cell r="G206">
            <v>15</v>
          </cell>
          <cell r="H206">
            <v>10</v>
          </cell>
          <cell r="I206">
            <v>4.5666666666666673</v>
          </cell>
          <cell r="J206">
            <v>4.6142857142857139</v>
          </cell>
          <cell r="K206">
            <v>4.6499999999999995</v>
          </cell>
          <cell r="L206">
            <v>4.6999999999999993</v>
          </cell>
        </row>
        <row r="207">
          <cell r="C207" t="str">
            <v>GABRIEL MAURICIO RAMÍREZ VILLEGAS</v>
          </cell>
          <cell r="D207" t="str">
            <v>FACULTAD DE INGENIERÍAS</v>
          </cell>
          <cell r="E207" t="str">
            <v>PROYECTO DE INGENIERÍA II</v>
          </cell>
          <cell r="F207" t="str">
            <v>061</v>
          </cell>
          <cell r="G207">
            <v>14</v>
          </cell>
          <cell r="H207">
            <v>8</v>
          </cell>
          <cell r="I207">
            <v>4.75</v>
          </cell>
          <cell r="J207">
            <v>4.7321428571428568</v>
          </cell>
          <cell r="K207">
            <v>4.71875</v>
          </cell>
          <cell r="L207">
            <v>4.75</v>
          </cell>
        </row>
        <row r="208">
          <cell r="C208" t="str">
            <v>GABRIEL MAURICIO RAMÍREZ VILLEGAS</v>
          </cell>
          <cell r="D208" t="str">
            <v>FACULTAD DE INGENIERÍAS</v>
          </cell>
          <cell r="E208" t="str">
            <v>PROYECTO DE INGENIERÍA II</v>
          </cell>
          <cell r="F208" t="str">
            <v>062</v>
          </cell>
          <cell r="G208">
            <v>26</v>
          </cell>
          <cell r="H208">
            <v>13</v>
          </cell>
          <cell r="I208">
            <v>4.7435897435897436</v>
          </cell>
          <cell r="J208">
            <v>4.6373626373626369</v>
          </cell>
          <cell r="K208">
            <v>4.6730769230769234</v>
          </cell>
          <cell r="L208">
            <v>4.7179487179487181</v>
          </cell>
        </row>
        <row r="209">
          <cell r="C209" t="str">
            <v>RICARDO ADOLFO MUÑOZ JARAMILLO</v>
          </cell>
          <cell r="D209" t="str">
            <v>FACULTAD DE INGENIERÍAS</v>
          </cell>
          <cell r="E209" t="str">
            <v>ALGORITMOS Y PROGRAMACIÓN ORIENTADA A OBJETOS</v>
          </cell>
          <cell r="F209" t="str">
            <v>064</v>
          </cell>
          <cell r="G209">
            <v>8</v>
          </cell>
          <cell r="H209">
            <v>1</v>
          </cell>
          <cell r="I209">
            <v>5</v>
          </cell>
          <cell r="J209">
            <v>5</v>
          </cell>
          <cell r="K209">
            <v>5</v>
          </cell>
          <cell r="L209">
            <v>5</v>
          </cell>
        </row>
        <row r="210">
          <cell r="C210" t="str">
            <v>RICARDO ADOLFO MUÑOZ JARAMILLO</v>
          </cell>
          <cell r="D210" t="str">
            <v>FACULTAD DE INGENIERÍAS</v>
          </cell>
          <cell r="E210" t="str">
            <v>ARQUITECTURA DE COMPUTADORES Y SISTEMAS OPERATIVOS</v>
          </cell>
          <cell r="F210" t="str">
            <v>061</v>
          </cell>
          <cell r="G210">
            <v>28</v>
          </cell>
          <cell r="H210">
            <v>14</v>
          </cell>
          <cell r="I210">
            <v>4.7857142857142856</v>
          </cell>
          <cell r="J210">
            <v>4.6122448979591839</v>
          </cell>
          <cell r="K210">
            <v>4.4464285714285712</v>
          </cell>
          <cell r="L210">
            <v>4.8571428571428577</v>
          </cell>
        </row>
        <row r="211">
          <cell r="C211" t="str">
            <v>RICARDO ADOLFO MUÑOZ JARAMILLO</v>
          </cell>
          <cell r="D211" t="str">
            <v>FACULTAD DE INGENIERÍAS</v>
          </cell>
          <cell r="E211" t="str">
            <v>ARQUITECTURA DE COMPUTADORES Y SISTEMAS OPERATIVOS</v>
          </cell>
          <cell r="F211" t="str">
            <v>062</v>
          </cell>
          <cell r="G211">
            <v>14</v>
          </cell>
          <cell r="H211">
            <v>7</v>
          </cell>
          <cell r="I211">
            <v>4.6190476190476186</v>
          </cell>
          <cell r="J211">
            <v>4.6122448979591839</v>
          </cell>
          <cell r="K211">
            <v>4.75</v>
          </cell>
          <cell r="L211">
            <v>4.8095238095238093</v>
          </cell>
        </row>
        <row r="212">
          <cell r="C212" t="str">
            <v>RICARDO ADOLFO MUÑOZ JARAMILLO</v>
          </cell>
          <cell r="D212" t="str">
            <v>FACULTAD DE INGENIERÍAS</v>
          </cell>
          <cell r="E212" t="str">
            <v>ELECTRÓNICA DIGITAL</v>
          </cell>
          <cell r="F212" t="str">
            <v>061</v>
          </cell>
          <cell r="G212">
            <v>19</v>
          </cell>
          <cell r="H212">
            <v>8</v>
          </cell>
          <cell r="I212">
            <v>4.708333333333333</v>
          </cell>
          <cell r="J212">
            <v>4.6964285714285712</v>
          </cell>
          <cell r="K212">
            <v>4.71875</v>
          </cell>
          <cell r="L212">
            <v>4.583333333333333</v>
          </cell>
        </row>
        <row r="213">
          <cell r="C213" t="str">
            <v>JAIME ALBERTO ECHEVERRI ARIAS</v>
          </cell>
          <cell r="D213" t="str">
            <v>FACULTAD DE INGENIERÍAS</v>
          </cell>
          <cell r="E213" t="str">
            <v>INTRODUCCIÓN A LA INGENIERÍA DE SISTEMAS</v>
          </cell>
          <cell r="F213" t="str">
            <v>061</v>
          </cell>
          <cell r="G213">
            <v>17</v>
          </cell>
          <cell r="H213">
            <v>1</v>
          </cell>
          <cell r="I213">
            <v>5</v>
          </cell>
          <cell r="J213">
            <v>5</v>
          </cell>
          <cell r="K213">
            <v>5</v>
          </cell>
          <cell r="L213">
            <v>5</v>
          </cell>
        </row>
        <row r="214">
          <cell r="C214" t="str">
            <v>JAIME ALBERTO ECHEVERRI ARIAS</v>
          </cell>
          <cell r="D214" t="str">
            <v>FACULTAD DE INGENIERÍAS</v>
          </cell>
          <cell r="E214" t="str">
            <v>INTRODUCCIÓN A LA INGENIERÍA DE SISTEMAS</v>
          </cell>
          <cell r="F214" t="str">
            <v>062</v>
          </cell>
          <cell r="G214">
            <v>23</v>
          </cell>
          <cell r="H214">
            <v>2</v>
          </cell>
          <cell r="I214">
            <v>5</v>
          </cell>
          <cell r="J214">
            <v>5</v>
          </cell>
          <cell r="K214">
            <v>5</v>
          </cell>
          <cell r="L214">
            <v>5</v>
          </cell>
        </row>
        <row r="215">
          <cell r="C215" t="str">
            <v>JOSÉ FABIO JARAMILLO CASTRO</v>
          </cell>
          <cell r="D215" t="str">
            <v>FACULTAD DE INGENIERÍAS</v>
          </cell>
          <cell r="E215" t="str">
            <v>ÉNFASIS II: DEVOPS</v>
          </cell>
          <cell r="F215" t="str">
            <v>061</v>
          </cell>
          <cell r="G215">
            <v>7</v>
          </cell>
          <cell r="H215">
            <v>3</v>
          </cell>
          <cell r="I215">
            <v>4.666666666666667</v>
          </cell>
          <cell r="J215">
            <v>4.5238095238095237</v>
          </cell>
          <cell r="K215">
            <v>4.3333333333333339</v>
          </cell>
          <cell r="L215">
            <v>4.2222222222222223</v>
          </cell>
        </row>
        <row r="216">
          <cell r="C216" t="str">
            <v>JOSÉ FABIO JARAMILLO CASTRO</v>
          </cell>
          <cell r="D216" t="str">
            <v>FACULTAD DE INGENIERÍAS</v>
          </cell>
          <cell r="E216" t="str">
            <v>ÉNFASIS I: DESARROLLO DE VIDEOJUEGOS</v>
          </cell>
          <cell r="F216" t="str">
            <v>061</v>
          </cell>
          <cell r="G216">
            <v>6</v>
          </cell>
          <cell r="H216">
            <v>2</v>
          </cell>
          <cell r="I216">
            <v>3.6666666666666665</v>
          </cell>
          <cell r="J216">
            <v>3.9285714285714284</v>
          </cell>
          <cell r="K216">
            <v>3.5</v>
          </cell>
          <cell r="L216">
            <v>3.1666666666666665</v>
          </cell>
        </row>
        <row r="217">
          <cell r="C217" t="str">
            <v>GUSTAVO PALERMO GÓMEZ</v>
          </cell>
          <cell r="D217" t="str">
            <v>FACULTAD DE INGENIERÍAS</v>
          </cell>
          <cell r="E217" t="str">
            <v>FUNDAMENTOS DE DISEÑO DE SOFTWARE</v>
          </cell>
          <cell r="F217" t="str">
            <v>062</v>
          </cell>
          <cell r="G217">
            <v>13</v>
          </cell>
          <cell r="H217">
            <v>8</v>
          </cell>
          <cell r="I217">
            <v>4.958333333333333</v>
          </cell>
          <cell r="J217">
            <v>4.875</v>
          </cell>
          <cell r="K217">
            <v>4.84375</v>
          </cell>
          <cell r="L217">
            <v>4.833333333333333</v>
          </cell>
        </row>
        <row r="218">
          <cell r="C218" t="str">
            <v>GUSTAVO PALERMO GÓMEZ</v>
          </cell>
          <cell r="D218" t="str">
            <v>FACULTAD DE INGENIERÍAS</v>
          </cell>
          <cell r="E218" t="str">
            <v>FUNDAMENTOS DE DISEÑO DE SOFTWARE</v>
          </cell>
          <cell r="F218" t="str">
            <v>063</v>
          </cell>
          <cell r="G218">
            <v>18</v>
          </cell>
          <cell r="H218">
            <v>5</v>
          </cell>
          <cell r="I218">
            <v>5</v>
          </cell>
          <cell r="J218">
            <v>4.7714285714285714</v>
          </cell>
          <cell r="K218">
            <v>4.75</v>
          </cell>
          <cell r="L218">
            <v>4.9333333333333336</v>
          </cell>
        </row>
        <row r="219">
          <cell r="C219" t="str">
            <v>GUSTAVO PALERMO GÓMEZ</v>
          </cell>
          <cell r="D219" t="str">
            <v>FACULTAD DE INGENIERÍAS</v>
          </cell>
          <cell r="E219" t="str">
            <v>DISEÑO DETALLADO Y ARQUITECTURA DE SOFTWARE</v>
          </cell>
          <cell r="F219" t="str">
            <v>061</v>
          </cell>
          <cell r="G219">
            <v>14</v>
          </cell>
          <cell r="H219">
            <v>4</v>
          </cell>
          <cell r="I219">
            <v>4.5</v>
          </cell>
          <cell r="J219">
            <v>4.4285714285714288</v>
          </cell>
          <cell r="K219">
            <v>4.625</v>
          </cell>
          <cell r="L219">
            <v>4.5</v>
          </cell>
        </row>
        <row r="220">
          <cell r="C220" t="str">
            <v>GUSTAVO PALERMO GÓMEZ</v>
          </cell>
          <cell r="D220" t="str">
            <v>FACULTAD DE INGENIERÍAS</v>
          </cell>
          <cell r="E220" t="str">
            <v>DISEÑO DETALLADO Y ARQUITECTURA DE SOFTWARE</v>
          </cell>
          <cell r="F220" t="str">
            <v>064</v>
          </cell>
          <cell r="G220">
            <v>16</v>
          </cell>
          <cell r="H220">
            <v>5</v>
          </cell>
          <cell r="I220">
            <v>4.8666666666666663</v>
          </cell>
          <cell r="J220">
            <v>4.7714285714285714</v>
          </cell>
          <cell r="K220">
            <v>4.75</v>
          </cell>
          <cell r="L220">
            <v>4.8</v>
          </cell>
        </row>
        <row r="221">
          <cell r="C221" t="str">
            <v>HERNÁN ALEJANDRO GÓMEZ URREA</v>
          </cell>
          <cell r="D221" t="str">
            <v>FACULTAD DE INGENIERÍAS</v>
          </cell>
          <cell r="E221" t="str">
            <v>TEORÍA ELECTROMAGNÉTICA</v>
          </cell>
          <cell r="F221" t="str">
            <v>061</v>
          </cell>
          <cell r="G221">
            <v>4</v>
          </cell>
          <cell r="H221">
            <v>1</v>
          </cell>
          <cell r="I221">
            <v>5</v>
          </cell>
          <cell r="J221">
            <v>5</v>
          </cell>
          <cell r="K221">
            <v>5</v>
          </cell>
          <cell r="L221">
            <v>5</v>
          </cell>
        </row>
        <row r="222">
          <cell r="C222" t="str">
            <v>ANDRÉS GONZÁLEZ ARTEAGA</v>
          </cell>
          <cell r="D222" t="str">
            <v>FACULTAD DE INGENIERÍAS</v>
          </cell>
          <cell r="E222" t="str">
            <v>SISTEMAS DE SUPERVISIÓN</v>
          </cell>
          <cell r="F222" t="str">
            <v>061</v>
          </cell>
          <cell r="G222">
            <v>3</v>
          </cell>
          <cell r="H222">
            <v>2</v>
          </cell>
          <cell r="I222">
            <v>5</v>
          </cell>
          <cell r="J222">
            <v>5</v>
          </cell>
          <cell r="K222">
            <v>4.875</v>
          </cell>
          <cell r="L222">
            <v>5</v>
          </cell>
        </row>
        <row r="223">
          <cell r="C223" t="str">
            <v>ALEXÁNDER GALVIS QUINTERO</v>
          </cell>
          <cell r="D223" t="str">
            <v>FACULTAD DE INGENIERÍAS</v>
          </cell>
          <cell r="E223" t="str">
            <v>INGENIERÍA DE TRÁFICO</v>
          </cell>
          <cell r="F223" t="str">
            <v>061</v>
          </cell>
          <cell r="G223">
            <v>4</v>
          </cell>
          <cell r="H223">
            <v>3</v>
          </cell>
          <cell r="I223">
            <v>5</v>
          </cell>
          <cell r="J223">
            <v>5</v>
          </cell>
          <cell r="K223">
            <v>5</v>
          </cell>
          <cell r="L223">
            <v>5</v>
          </cell>
        </row>
        <row r="224">
          <cell r="C224" t="str">
            <v>ALEXÁNDER GALVIS QUINTERO</v>
          </cell>
          <cell r="D224" t="str">
            <v>FACULTAD DE INGENIERÍAS</v>
          </cell>
          <cell r="E224" t="str">
            <v>TEORÍA DE COMUNICACIONES</v>
          </cell>
          <cell r="F224" t="str">
            <v>061</v>
          </cell>
          <cell r="G224">
            <v>8</v>
          </cell>
          <cell r="H224">
            <v>4</v>
          </cell>
          <cell r="I224">
            <v>5</v>
          </cell>
          <cell r="J224">
            <v>5</v>
          </cell>
          <cell r="K224">
            <v>5</v>
          </cell>
          <cell r="L224">
            <v>5</v>
          </cell>
        </row>
        <row r="225">
          <cell r="C225" t="str">
            <v>JENNY CUATINDIOY IMBACHI</v>
          </cell>
          <cell r="D225" t="str">
            <v>FACULTAD DE INGENIERÍAS</v>
          </cell>
          <cell r="E225" t="str">
            <v>PLANEACIÓN DE REDES ÓPTICAS</v>
          </cell>
          <cell r="F225" t="str">
            <v>061</v>
          </cell>
          <cell r="G225">
            <v>2</v>
          </cell>
          <cell r="H225">
            <v>1</v>
          </cell>
          <cell r="I225">
            <v>5</v>
          </cell>
          <cell r="J225">
            <v>5</v>
          </cell>
          <cell r="K225">
            <v>5</v>
          </cell>
          <cell r="L225">
            <v>5</v>
          </cell>
        </row>
        <row r="226">
          <cell r="C226" t="str">
            <v>JENNY CUATINDIOY IMBACHI</v>
          </cell>
          <cell r="D226" t="str">
            <v>FACULTAD DE INGENIERÍAS</v>
          </cell>
          <cell r="E226" t="str">
            <v>SEÑALES Y SISTEMAS I</v>
          </cell>
          <cell r="F226" t="str">
            <v>061</v>
          </cell>
          <cell r="G226">
            <v>7</v>
          </cell>
          <cell r="H226">
            <v>1</v>
          </cell>
          <cell r="I226">
            <v>5</v>
          </cell>
          <cell r="J226">
            <v>5</v>
          </cell>
          <cell r="K226">
            <v>5</v>
          </cell>
          <cell r="L226">
            <v>5</v>
          </cell>
        </row>
        <row r="227">
          <cell r="C227" t="str">
            <v>DUBY SULAY CASTELLANOS CÁRDENAS</v>
          </cell>
          <cell r="D227" t="str">
            <v>FACULTAD DE INGENIERÍAS</v>
          </cell>
          <cell r="E227" t="str">
            <v>FUNDAMENTOS DE CONTROL Y AUTOMATIZACIÓN</v>
          </cell>
          <cell r="F227" t="str">
            <v>061</v>
          </cell>
          <cell r="G227">
            <v>3</v>
          </cell>
          <cell r="H227">
            <v>2</v>
          </cell>
          <cell r="I227">
            <v>5</v>
          </cell>
          <cell r="J227">
            <v>5</v>
          </cell>
          <cell r="K227">
            <v>5</v>
          </cell>
          <cell r="L227">
            <v>5</v>
          </cell>
        </row>
        <row r="228">
          <cell r="C228" t="str">
            <v>JUAN DIEGO VÉLEZ SÁNCHEZ</v>
          </cell>
          <cell r="D228" t="str">
            <v>FACULTAD DE INGENIERÍAS</v>
          </cell>
          <cell r="E228" t="str">
            <v>ANTENAS Y RADIOPROPAGACIÓN</v>
          </cell>
          <cell r="F228" t="str">
            <v>061</v>
          </cell>
          <cell r="G228">
            <v>2</v>
          </cell>
          <cell r="H228">
            <v>1</v>
          </cell>
          <cell r="I228">
            <v>5</v>
          </cell>
          <cell r="J228">
            <v>5</v>
          </cell>
          <cell r="K228">
            <v>4.75</v>
          </cell>
          <cell r="L228">
            <v>5</v>
          </cell>
        </row>
        <row r="229">
          <cell r="C229" t="str">
            <v>JUAN DIEGO VÉLEZ SÁNCHEZ</v>
          </cell>
          <cell r="D229" t="str">
            <v>FACULTAD DE INGENIERÍAS</v>
          </cell>
          <cell r="E229" t="str">
            <v>MEDIOS DE TRANSMISIÓN</v>
          </cell>
          <cell r="F229" t="str">
            <v>061</v>
          </cell>
          <cell r="G229">
            <v>2</v>
          </cell>
          <cell r="H229">
            <v>1</v>
          </cell>
          <cell r="I229">
            <v>5</v>
          </cell>
          <cell r="J229">
            <v>5</v>
          </cell>
          <cell r="K229">
            <v>5</v>
          </cell>
          <cell r="L229">
            <v>5</v>
          </cell>
        </row>
        <row r="230">
          <cell r="C230" t="str">
            <v>ANDRÉS FELIPE OROZCO DUQUE</v>
          </cell>
          <cell r="D230" t="str">
            <v>FACULTAD DE INGENIERÍAS</v>
          </cell>
          <cell r="E230" t="str">
            <v>ÉNFASIS III: VISUALIZACIÓN DE DATOS</v>
          </cell>
          <cell r="F230" t="str">
            <v>061</v>
          </cell>
          <cell r="G230">
            <v>10</v>
          </cell>
          <cell r="H230">
            <v>4</v>
          </cell>
          <cell r="I230">
            <v>5</v>
          </cell>
          <cell r="J230">
            <v>4.8928571428571432</v>
          </cell>
          <cell r="K230">
            <v>5</v>
          </cell>
          <cell r="L230">
            <v>5</v>
          </cell>
        </row>
        <row r="231">
          <cell r="C231" t="str">
            <v>MAURICIO GONZÁLEZ PALACIO</v>
          </cell>
          <cell r="D231" t="str">
            <v>FACULTAD DE INGENIERÍAS</v>
          </cell>
          <cell r="E231" t="str">
            <v>PRÁCTICA DE ELECTRÓNICA DIGITAL</v>
          </cell>
          <cell r="F231" t="str">
            <v>061</v>
          </cell>
          <cell r="G231">
            <v>4</v>
          </cell>
          <cell r="H231">
            <v>1</v>
          </cell>
          <cell r="I231">
            <v>5</v>
          </cell>
          <cell r="J231">
            <v>5</v>
          </cell>
          <cell r="K231">
            <v>5</v>
          </cell>
          <cell r="L231">
            <v>5</v>
          </cell>
        </row>
        <row r="232">
          <cell r="C232" t="str">
            <v>MAURICIO GONZÁLEZ PALACIO</v>
          </cell>
          <cell r="D232" t="str">
            <v>FACULTAD DE INGENIERÍAS</v>
          </cell>
          <cell r="E232" t="str">
            <v>PRÁCTICA DE CIRCUITOS DE RADIO FRECUENCIA</v>
          </cell>
          <cell r="F232" t="str">
            <v>061</v>
          </cell>
          <cell r="G232">
            <v>1</v>
          </cell>
          <cell r="H232">
            <v>1</v>
          </cell>
          <cell r="I232">
            <v>5</v>
          </cell>
          <cell r="J232">
            <v>5</v>
          </cell>
          <cell r="K232">
            <v>5</v>
          </cell>
          <cell r="L232">
            <v>5</v>
          </cell>
        </row>
        <row r="233">
          <cell r="C233" t="str">
            <v>ANDRÉS FELIPE SUÁREZ JARAMILLO</v>
          </cell>
          <cell r="D233" t="str">
            <v>FACULTAD DE INGENIERÍAS</v>
          </cell>
          <cell r="E233" t="str">
            <v>TECNOLOGÍAS INALÁMBRICAS</v>
          </cell>
          <cell r="F233" t="str">
            <v>061</v>
          </cell>
          <cell r="G233">
            <v>2</v>
          </cell>
          <cell r="H233">
            <v>2</v>
          </cell>
          <cell r="I233">
            <v>5</v>
          </cell>
          <cell r="J233">
            <v>5</v>
          </cell>
          <cell r="K233">
            <v>5</v>
          </cell>
          <cell r="L233">
            <v>5</v>
          </cell>
        </row>
        <row r="234">
          <cell r="C234" t="str">
            <v>ANDRÉS FELIPE SUÁREZ JARAMILLO</v>
          </cell>
          <cell r="D234" t="str">
            <v>FACULTAD DE INGENIERÍAS</v>
          </cell>
          <cell r="E234" t="str">
            <v>NORMATIVIDAD EN TECNOLOGÍAS DE INFORMACIÓN Y COMUNICACIONES</v>
          </cell>
          <cell r="F234" t="str">
            <v>061</v>
          </cell>
          <cell r="G234">
            <v>1</v>
          </cell>
          <cell r="H234">
            <v>1</v>
          </cell>
          <cell r="I234">
            <v>5</v>
          </cell>
          <cell r="J234">
            <v>5</v>
          </cell>
          <cell r="K234">
            <v>5</v>
          </cell>
          <cell r="L234">
            <v>5</v>
          </cell>
        </row>
        <row r="235">
          <cell r="C235" t="str">
            <v>RONAL DAVILMAR MONTOYA MONTOYA</v>
          </cell>
          <cell r="D235" t="str">
            <v>FACULTAD DE INGENIERÍAS</v>
          </cell>
          <cell r="E235" t="str">
            <v>PRÁCTICA DE SEÑALES Y SISTEMAS II</v>
          </cell>
          <cell r="F235" t="str">
            <v>061</v>
          </cell>
          <cell r="G235">
            <v>5</v>
          </cell>
          <cell r="H235">
            <v>2</v>
          </cell>
          <cell r="I235">
            <v>5</v>
          </cell>
          <cell r="J235">
            <v>5</v>
          </cell>
          <cell r="K235">
            <v>5</v>
          </cell>
          <cell r="L235">
            <v>4.333333333333333</v>
          </cell>
        </row>
        <row r="236">
          <cell r="C236" t="str">
            <v>RONAL DAVILMAR MONTOYA MONTOYA</v>
          </cell>
          <cell r="D236" t="str">
            <v>FACULTAD DE INGENIERÍAS</v>
          </cell>
          <cell r="E236" t="str">
            <v>SEÑALES Y SISTEMAS II</v>
          </cell>
          <cell r="F236" t="str">
            <v>061</v>
          </cell>
          <cell r="G236">
            <v>6</v>
          </cell>
          <cell r="H236">
            <v>3</v>
          </cell>
          <cell r="I236">
            <v>5</v>
          </cell>
          <cell r="J236">
            <v>5</v>
          </cell>
          <cell r="K236">
            <v>5</v>
          </cell>
          <cell r="L236">
            <v>4.5555555555555554</v>
          </cell>
        </row>
        <row r="237">
          <cell r="C237" t="str">
            <v>SERGIO ANDRÉS ZAPATA DUQUE</v>
          </cell>
          <cell r="D237" t="str">
            <v>FACULTAD DE INGENIERÍAS</v>
          </cell>
          <cell r="E237" t="str">
            <v>TECNOLOGÍAS CABLEADAS</v>
          </cell>
          <cell r="F237" t="str">
            <v>061</v>
          </cell>
          <cell r="G237">
            <v>2</v>
          </cell>
          <cell r="H237">
            <v>2</v>
          </cell>
          <cell r="I237">
            <v>5</v>
          </cell>
          <cell r="J237">
            <v>5</v>
          </cell>
          <cell r="K237">
            <v>5</v>
          </cell>
          <cell r="L237">
            <v>5</v>
          </cell>
        </row>
        <row r="238">
          <cell r="C238" t="str">
            <v>ANTONIO JESÚS TAMAYO HERRERA</v>
          </cell>
          <cell r="D238" t="str">
            <v>FACULTAD DE INGENIERÍAS</v>
          </cell>
          <cell r="E238" t="str">
            <v>ÉNFASIS II: APRENDIZAJE DE MÁQUINAS</v>
          </cell>
          <cell r="F238" t="str">
            <v>061</v>
          </cell>
          <cell r="G238">
            <v>3</v>
          </cell>
          <cell r="H238">
            <v>1</v>
          </cell>
          <cell r="I238">
            <v>5</v>
          </cell>
          <cell r="J238">
            <v>5</v>
          </cell>
          <cell r="K238">
            <v>5</v>
          </cell>
          <cell r="L238">
            <v>5</v>
          </cell>
        </row>
        <row r="239">
          <cell r="C239" t="str">
            <v>ANDRÉS FELIPE OSORIO HENKER</v>
          </cell>
          <cell r="D239" t="str">
            <v>FACULTAD DE INGENIERÍAS</v>
          </cell>
          <cell r="E239" t="str">
            <v>PROCESOS ESTOCÁSTICOS</v>
          </cell>
          <cell r="F239" t="str">
            <v>061</v>
          </cell>
          <cell r="G239">
            <v>3</v>
          </cell>
          <cell r="H239">
            <v>1</v>
          </cell>
          <cell r="I239">
            <v>5</v>
          </cell>
          <cell r="J239">
            <v>5</v>
          </cell>
          <cell r="K239">
            <v>5</v>
          </cell>
          <cell r="L239">
            <v>5</v>
          </cell>
        </row>
        <row r="240">
          <cell r="C240" t="str">
            <v>ANDRÉS FELIPE OSORIO HENKER</v>
          </cell>
          <cell r="D240" t="str">
            <v>FACULTAD DE INGENIERÍAS</v>
          </cell>
          <cell r="E240" t="str">
            <v>PRÁCTICA DE REDES DE DATOS II</v>
          </cell>
          <cell r="F240" t="str">
            <v>061</v>
          </cell>
          <cell r="G240">
            <v>1</v>
          </cell>
          <cell r="H240">
            <v>1</v>
          </cell>
          <cell r="I240">
            <v>5</v>
          </cell>
          <cell r="J240">
            <v>5</v>
          </cell>
          <cell r="K240">
            <v>5</v>
          </cell>
          <cell r="L240">
            <v>5</v>
          </cell>
        </row>
        <row r="241">
          <cell r="C241" t="str">
            <v>ANDRÉS FELIPE OSORIO HENKER</v>
          </cell>
          <cell r="D241" t="str">
            <v>FACULTAD DE INGENIERÍAS</v>
          </cell>
          <cell r="E241" t="str">
            <v>REDES DE DATOS II</v>
          </cell>
          <cell r="F241" t="str">
            <v>061</v>
          </cell>
          <cell r="G241">
            <v>1</v>
          </cell>
          <cell r="H241">
            <v>1</v>
          </cell>
          <cell r="I241">
            <v>5</v>
          </cell>
          <cell r="J241">
            <v>5</v>
          </cell>
          <cell r="K241">
            <v>5</v>
          </cell>
          <cell r="L241">
            <v>5</v>
          </cell>
        </row>
        <row r="242">
          <cell r="C242" t="str">
            <v>JAVIER ANDRÉS FERRO PÉREZ</v>
          </cell>
          <cell r="D242" t="str">
            <v>FACULTAD DE INGENIERÍAS</v>
          </cell>
          <cell r="E242" t="str">
            <v>COMPLEMENTARIA II:PROGRAMACIÓN EN FINANZAS</v>
          </cell>
          <cell r="F242" t="str">
            <v>111</v>
          </cell>
          <cell r="G242">
            <v>13</v>
          </cell>
          <cell r="H242">
            <v>4</v>
          </cell>
          <cell r="I242">
            <v>4.916666666666667</v>
          </cell>
          <cell r="J242">
            <v>4.8571428571428568</v>
          </cell>
          <cell r="K242">
            <v>4.9375</v>
          </cell>
          <cell r="L242">
            <v>5</v>
          </cell>
        </row>
        <row r="243">
          <cell r="C243" t="str">
            <v>JUAN ESTEBAN QUINTERO SÁNCHEZ</v>
          </cell>
          <cell r="D243" t="str">
            <v>FACULTAD DE INGENIERÍAS</v>
          </cell>
          <cell r="E243" t="str">
            <v>INSTRUMENTOS DE RENTA VARIABLE</v>
          </cell>
          <cell r="F243" t="str">
            <v>111</v>
          </cell>
          <cell r="G243">
            <v>27</v>
          </cell>
          <cell r="H243">
            <v>11</v>
          </cell>
          <cell r="I243">
            <v>4.2727272727272734</v>
          </cell>
          <cell r="J243">
            <v>4.2857142857142856</v>
          </cell>
          <cell r="K243">
            <v>4.1136363636363633</v>
          </cell>
          <cell r="L243">
            <v>4.2727272727272725</v>
          </cell>
        </row>
        <row r="244">
          <cell r="C244" t="str">
            <v>JUAN ESTEBAN QUINTERO SÁNCHEZ</v>
          </cell>
          <cell r="D244" t="str">
            <v>FACULTAD DE INGENIERÍAS</v>
          </cell>
          <cell r="E244" t="str">
            <v>MERCADO  DE FUTUROS Y OPCIONES</v>
          </cell>
          <cell r="F244" t="str">
            <v>111</v>
          </cell>
          <cell r="G244">
            <v>15</v>
          </cell>
          <cell r="H244">
            <v>3</v>
          </cell>
          <cell r="I244">
            <v>3.8888888888888888</v>
          </cell>
          <cell r="J244">
            <v>3.4761904761904758</v>
          </cell>
          <cell r="K244">
            <v>3.3333333333333335</v>
          </cell>
          <cell r="L244">
            <v>3.2222222222222228</v>
          </cell>
        </row>
        <row r="245">
          <cell r="C245" t="str">
            <v>JUAN ESTEBAN QUINTERO SÁNCHEZ</v>
          </cell>
          <cell r="D245" t="str">
            <v>FACULTAD DE INGENIERÍAS</v>
          </cell>
          <cell r="E245" t="str">
            <v>BANCA DE INVERSIÓN</v>
          </cell>
          <cell r="F245" t="str">
            <v>111</v>
          </cell>
          <cell r="G245">
            <v>24</v>
          </cell>
          <cell r="H245">
            <v>10</v>
          </cell>
          <cell r="I245">
            <v>3.9666666666666668</v>
          </cell>
          <cell r="J245">
            <v>3.9857142857142862</v>
          </cell>
          <cell r="K245">
            <v>4.0250000000000004</v>
          </cell>
          <cell r="L245">
            <v>3.9666666666666668</v>
          </cell>
        </row>
        <row r="246">
          <cell r="C246" t="str">
            <v>ANDRÉS FELIPE CASTRO MEJÍA</v>
          </cell>
          <cell r="D246" t="str">
            <v>FACULTAD DE INGENIERÍAS</v>
          </cell>
          <cell r="E246" t="str">
            <v>INTRODUCCIÓN A LA INGENIERÍA FINANCIERA</v>
          </cell>
          <cell r="F246" t="str">
            <v>111</v>
          </cell>
          <cell r="G246">
            <v>17</v>
          </cell>
          <cell r="H246">
            <v>3</v>
          </cell>
          <cell r="I246">
            <v>5</v>
          </cell>
          <cell r="J246">
            <v>5</v>
          </cell>
          <cell r="K246">
            <v>5</v>
          </cell>
          <cell r="L246">
            <v>5</v>
          </cell>
        </row>
        <row r="247">
          <cell r="C247" t="str">
            <v>ANDRÉS FELIPE CASTRO MEJÍA</v>
          </cell>
          <cell r="D247" t="str">
            <v>FACULTAD DE INGENIERÍAS</v>
          </cell>
          <cell r="E247" t="str">
            <v>VALORACIÓN DE DERIVADOS FINANCIEROS</v>
          </cell>
          <cell r="F247" t="str">
            <v>111</v>
          </cell>
          <cell r="G247">
            <v>18</v>
          </cell>
          <cell r="H247">
            <v>10</v>
          </cell>
          <cell r="I247">
            <v>4.9000000000000004</v>
          </cell>
          <cell r="J247">
            <v>4.7000000000000011</v>
          </cell>
          <cell r="K247">
            <v>4.6999999999999993</v>
          </cell>
          <cell r="L247">
            <v>4.8666666666666671</v>
          </cell>
        </row>
        <row r="248">
          <cell r="C248" t="str">
            <v>RICARDO GIRALDO ACEVEDO</v>
          </cell>
          <cell r="D248" t="str">
            <v>FACULTAD DE INGENIERÍAS</v>
          </cell>
          <cell r="E248" t="str">
            <v>INSTRUMENTOS DE RENTA FIJA</v>
          </cell>
          <cell r="F248" t="str">
            <v>111</v>
          </cell>
          <cell r="G248">
            <v>14</v>
          </cell>
          <cell r="H248">
            <v>4</v>
          </cell>
          <cell r="I248">
            <v>4.25</v>
          </cell>
          <cell r="J248">
            <v>4.2142857142857144</v>
          </cell>
          <cell r="K248">
            <v>4.1875</v>
          </cell>
          <cell r="L248">
            <v>4.166666666666667</v>
          </cell>
        </row>
        <row r="249">
          <cell r="C249" t="str">
            <v>RICARDO GIRALDO ACEVEDO</v>
          </cell>
          <cell r="D249" t="str">
            <v>FACULTAD DE INGENIERÍAS</v>
          </cell>
          <cell r="E249" t="str">
            <v>COMPLEMENTARIA I: ESTRATEGIA FINANCIERA</v>
          </cell>
          <cell r="F249" t="str">
            <v>111</v>
          </cell>
          <cell r="G249">
            <v>18</v>
          </cell>
          <cell r="H249">
            <v>7</v>
          </cell>
          <cell r="I249">
            <v>5</v>
          </cell>
          <cell r="J249">
            <v>4.6530612244897958</v>
          </cell>
          <cell r="K249">
            <v>4.7142857142857144</v>
          </cell>
          <cell r="L249">
            <v>4.8571428571428568</v>
          </cell>
        </row>
        <row r="250">
          <cell r="C250" t="str">
            <v>DIANA SIRLEY GUZMÁN AGUILAR</v>
          </cell>
          <cell r="D250" t="str">
            <v>FACULTAD DE INGENIERÍAS</v>
          </cell>
          <cell r="E250" t="str">
            <v>ECONOMETRÍA</v>
          </cell>
          <cell r="F250" t="str">
            <v>111</v>
          </cell>
          <cell r="G250">
            <v>21</v>
          </cell>
          <cell r="H250">
            <v>7</v>
          </cell>
          <cell r="I250">
            <v>4.5714285714285712</v>
          </cell>
          <cell r="J250">
            <v>4.4081632653061229</v>
          </cell>
          <cell r="K250">
            <v>4.4642857142857144</v>
          </cell>
          <cell r="L250">
            <v>4.4761904761904754</v>
          </cell>
        </row>
        <row r="251">
          <cell r="C251" t="str">
            <v>ÁNGELA MARÍA GÓMEZ RESTREPO</v>
          </cell>
          <cell r="D251" t="str">
            <v>FACULTAD DE INGENIERÍAS</v>
          </cell>
          <cell r="E251" t="str">
            <v>DIAGNÓSTICO FINANCIERO</v>
          </cell>
          <cell r="F251" t="str">
            <v>111</v>
          </cell>
          <cell r="G251">
            <v>13</v>
          </cell>
          <cell r="H251">
            <v>5</v>
          </cell>
          <cell r="I251">
            <v>4.5999999999999996</v>
          </cell>
          <cell r="J251">
            <v>4.5999999999999996</v>
          </cell>
          <cell r="K251">
            <v>4.5999999999999996</v>
          </cell>
          <cell r="L251">
            <v>4.4000000000000004</v>
          </cell>
        </row>
        <row r="252">
          <cell r="C252" t="str">
            <v>ÁNGELA MARÍA GÓMEZ RESTREPO</v>
          </cell>
          <cell r="D252" t="str">
            <v>FACULTAD DE INGENIERÍAS</v>
          </cell>
          <cell r="E252" t="str">
            <v>DIAGNÓSTICO FINANCIERO</v>
          </cell>
          <cell r="F252" t="str">
            <v>112</v>
          </cell>
          <cell r="G252">
            <v>16</v>
          </cell>
          <cell r="H252">
            <v>8</v>
          </cell>
          <cell r="I252">
            <v>4.958333333333333</v>
          </cell>
          <cell r="J252">
            <v>5</v>
          </cell>
          <cell r="K252">
            <v>5</v>
          </cell>
          <cell r="L252">
            <v>5</v>
          </cell>
        </row>
        <row r="253">
          <cell r="C253" t="str">
            <v>ELIZABETH TATIANA ARROYAVE CATAÑO</v>
          </cell>
          <cell r="D253" t="str">
            <v>FACULTAD DE INGENIERÍAS</v>
          </cell>
          <cell r="E253" t="str">
            <v xml:space="preserve">FINANZAS CORPORATIVAS                                       </v>
          </cell>
          <cell r="F253" t="str">
            <v>111</v>
          </cell>
          <cell r="G253">
            <v>22</v>
          </cell>
          <cell r="H253">
            <v>9</v>
          </cell>
          <cell r="I253">
            <v>4.5925925925925926</v>
          </cell>
          <cell r="J253">
            <v>4.0952380952380949</v>
          </cell>
          <cell r="K253">
            <v>3.8888888888888888</v>
          </cell>
          <cell r="L253">
            <v>3.9999999999999996</v>
          </cell>
        </row>
        <row r="254">
          <cell r="C254" t="str">
            <v>ELIZABETH TATIANA ARROYAVE CATAÑO</v>
          </cell>
          <cell r="D254" t="str">
            <v>FACULTAD DE INGENIERÍAS</v>
          </cell>
          <cell r="E254" t="str">
            <v>CONTABILIDAD GENERAL</v>
          </cell>
          <cell r="F254" t="str">
            <v>111</v>
          </cell>
          <cell r="G254">
            <v>19</v>
          </cell>
          <cell r="H254">
            <v>9</v>
          </cell>
          <cell r="I254">
            <v>3.8518518518518516</v>
          </cell>
          <cell r="J254">
            <v>3.5555555555555558</v>
          </cell>
          <cell r="K254">
            <v>3.4722222222222223</v>
          </cell>
          <cell r="L254">
            <v>3.3703703703703702</v>
          </cell>
        </row>
        <row r="255">
          <cell r="C255" t="str">
            <v>ELIZABETH TATIANA ARROYAVE CATAÑO</v>
          </cell>
          <cell r="D255" t="str">
            <v>FACULTAD DE INGENIERÍAS</v>
          </cell>
          <cell r="E255" t="str">
            <v>CONTABILIDAD GENERAL</v>
          </cell>
          <cell r="F255" t="str">
            <v>112</v>
          </cell>
          <cell r="G255">
            <v>9</v>
          </cell>
          <cell r="H255">
            <v>3</v>
          </cell>
          <cell r="I255">
            <v>2.1111111111111112</v>
          </cell>
          <cell r="J255">
            <v>1.8571428571428572</v>
          </cell>
          <cell r="K255">
            <v>1.916666666666667</v>
          </cell>
          <cell r="L255">
            <v>1.7777777777777779</v>
          </cell>
        </row>
        <row r="256">
          <cell r="C256" t="str">
            <v>MARIELA AGUILAR CHAVARRÍA</v>
          </cell>
          <cell r="D256" t="str">
            <v>FACULTAD DE INGENIERÍAS</v>
          </cell>
          <cell r="E256" t="str">
            <v>COSTOS Y PRESUPUESTOS</v>
          </cell>
          <cell r="F256" t="str">
            <v>111</v>
          </cell>
          <cell r="G256">
            <v>24</v>
          </cell>
          <cell r="H256">
            <v>18</v>
          </cell>
          <cell r="I256">
            <v>3.7407407407407409</v>
          </cell>
          <cell r="J256">
            <v>3.46031746031746</v>
          </cell>
          <cell r="K256">
            <v>3.583333333333333</v>
          </cell>
          <cell r="L256">
            <v>3.8333333333333335</v>
          </cell>
        </row>
        <row r="257">
          <cell r="C257" t="str">
            <v>MARÍA ANDREA ARIAS SERNA</v>
          </cell>
          <cell r="D257" t="str">
            <v>FACULTAD DE INGENIERÍAS</v>
          </cell>
          <cell r="E257" t="str">
            <v>RIESGOS FINANCIEROS</v>
          </cell>
          <cell r="F257" t="str">
            <v>111</v>
          </cell>
          <cell r="G257">
            <v>19</v>
          </cell>
          <cell r="H257">
            <v>8</v>
          </cell>
          <cell r="I257">
            <v>4.25</v>
          </cell>
          <cell r="J257">
            <v>4.3392857142857144</v>
          </cell>
          <cell r="K257">
            <v>4.5</v>
          </cell>
          <cell r="L257">
            <v>4.708333333333333</v>
          </cell>
        </row>
        <row r="258">
          <cell r="C258" t="str">
            <v>MARÍA ANDREA ARIAS SERNA</v>
          </cell>
          <cell r="D258" t="str">
            <v>FACULTAD DE INGENIERÍAS</v>
          </cell>
          <cell r="E258" t="str">
            <v>RIESGOS FINANCIEROS</v>
          </cell>
          <cell r="F258" t="str">
            <v>112</v>
          </cell>
          <cell r="G258">
            <v>16</v>
          </cell>
          <cell r="H258">
            <v>3</v>
          </cell>
          <cell r="I258">
            <v>5</v>
          </cell>
          <cell r="J258">
            <v>5</v>
          </cell>
          <cell r="K258">
            <v>5</v>
          </cell>
          <cell r="L258">
            <v>5</v>
          </cell>
        </row>
        <row r="259">
          <cell r="C259" t="str">
            <v>MARÍA ANDREA ARIAS SERNA</v>
          </cell>
          <cell r="D259" t="str">
            <v>FACULTAD DE INGENIERÍAS</v>
          </cell>
          <cell r="E259" t="str">
            <v>METODOLOGÍA DE LA INVESTIGACIÓN</v>
          </cell>
          <cell r="F259" t="str">
            <v>111</v>
          </cell>
          <cell r="G259">
            <v>21</v>
          </cell>
          <cell r="H259">
            <v>7</v>
          </cell>
          <cell r="I259">
            <v>4.333333333333333</v>
          </cell>
          <cell r="J259">
            <v>4.5918367346938771</v>
          </cell>
          <cell r="K259">
            <v>4.7142857142857144</v>
          </cell>
          <cell r="L259">
            <v>4.7142857142857144</v>
          </cell>
        </row>
        <row r="260">
          <cell r="C260" t="str">
            <v>MÓNICA ANDREA ARANGO ARANGO</v>
          </cell>
          <cell r="D260" t="str">
            <v>FACULTAD DE INGENIERÍAS</v>
          </cell>
          <cell r="E260" t="str">
            <v>TEORÍA DE LAS FINANZAS</v>
          </cell>
          <cell r="F260" t="str">
            <v>111</v>
          </cell>
          <cell r="G260">
            <v>13</v>
          </cell>
          <cell r="H260">
            <v>4</v>
          </cell>
          <cell r="I260">
            <v>5</v>
          </cell>
          <cell r="J260">
            <v>4.9642857142857144</v>
          </cell>
          <cell r="K260">
            <v>5</v>
          </cell>
          <cell r="L260">
            <v>4.75</v>
          </cell>
        </row>
        <row r="261">
          <cell r="C261" t="str">
            <v>MÓNICA ANDREA ARANGO ARANGO</v>
          </cell>
          <cell r="D261" t="str">
            <v>FACULTAD DE INGENIERÍAS</v>
          </cell>
          <cell r="E261" t="str">
            <v>MACROECONOMIA</v>
          </cell>
          <cell r="F261" t="str">
            <v>111</v>
          </cell>
          <cell r="G261">
            <v>4</v>
          </cell>
          <cell r="H261">
            <v>2</v>
          </cell>
          <cell r="I261">
            <v>5</v>
          </cell>
          <cell r="J261">
            <v>5</v>
          </cell>
          <cell r="K261">
            <v>5</v>
          </cell>
          <cell r="L261">
            <v>5</v>
          </cell>
        </row>
        <row r="262">
          <cell r="C262" t="str">
            <v>DAVID ALBERTO BEDOYA LONDOÑO</v>
          </cell>
          <cell r="D262" t="str">
            <v>FACULTAD DE INGENIERÍAS</v>
          </cell>
          <cell r="E262" t="str">
            <v>GESTIÓN DE TESORERÍA</v>
          </cell>
          <cell r="F262" t="str">
            <v>111</v>
          </cell>
          <cell r="G262">
            <v>22</v>
          </cell>
          <cell r="H262">
            <v>11</v>
          </cell>
          <cell r="I262">
            <v>4.9696969696969697</v>
          </cell>
          <cell r="J262">
            <v>4.7792207792207799</v>
          </cell>
          <cell r="K262">
            <v>4.9318181818181825</v>
          </cell>
          <cell r="L262">
            <v>4.8181818181818183</v>
          </cell>
        </row>
        <row r="263">
          <cell r="C263" t="str">
            <v>JUAN CAMILO ANZOÁTEGUI ZAPATA</v>
          </cell>
          <cell r="D263" t="str">
            <v>FACULTAD DE INGENIERÍAS</v>
          </cell>
          <cell r="E263" t="str">
            <v>ECONOMÍA Y FINANZAS INTERNACIONALES</v>
          </cell>
          <cell r="F263" t="str">
            <v>111</v>
          </cell>
          <cell r="G263">
            <v>32</v>
          </cell>
          <cell r="H263">
            <v>12</v>
          </cell>
          <cell r="I263">
            <v>4.5555555555555562</v>
          </cell>
          <cell r="J263">
            <v>4.2023809523809517</v>
          </cell>
          <cell r="K263">
            <v>4.166666666666667</v>
          </cell>
          <cell r="L263">
            <v>4.4444444444444438</v>
          </cell>
        </row>
        <row r="264">
          <cell r="C264" t="str">
            <v>HORACIO FERNÁNDEZ CASTAÑO</v>
          </cell>
          <cell r="D264" t="str">
            <v>FACULTAD DE INGENIERÍAS</v>
          </cell>
          <cell r="E264" t="str">
            <v>INVESTIGACIÓN DE OPERACIONES</v>
          </cell>
          <cell r="F264" t="str">
            <v>111</v>
          </cell>
          <cell r="G264">
            <v>6</v>
          </cell>
          <cell r="H264">
            <v>2</v>
          </cell>
          <cell r="I264">
            <v>5</v>
          </cell>
          <cell r="J264">
            <v>4.4285714285714288</v>
          </cell>
          <cell r="K264">
            <v>4.625</v>
          </cell>
          <cell r="L264">
            <v>4.666666666666667</v>
          </cell>
        </row>
        <row r="265">
          <cell r="C265" t="str">
            <v>LUIS FERNANDO MONTES GÓMEZ</v>
          </cell>
          <cell r="D265" t="str">
            <v>FACULTAD DE INGENIERÍAS</v>
          </cell>
          <cell r="E265" t="str">
            <v>INGENIERÍA ECONÓMICA</v>
          </cell>
          <cell r="F265" t="str">
            <v>111</v>
          </cell>
          <cell r="G265">
            <v>28</v>
          </cell>
          <cell r="H265">
            <v>17</v>
          </cell>
          <cell r="I265">
            <v>4.8039215686274508</v>
          </cell>
          <cell r="J265">
            <v>4.5882352941176467</v>
          </cell>
          <cell r="K265">
            <v>4.5588235294117645</v>
          </cell>
          <cell r="L265">
            <v>4.5686274509803928</v>
          </cell>
        </row>
        <row r="266">
          <cell r="C266" t="str">
            <v>LUIS FERNANDO MONTES GÓMEZ</v>
          </cell>
          <cell r="D266" t="str">
            <v>FACULTAD DE INGENIERÍAS</v>
          </cell>
          <cell r="E266" t="str">
            <v>VALORACIÓN DE EMPRESAS Y OPCIONES REALES</v>
          </cell>
          <cell r="F266" t="str">
            <v>112</v>
          </cell>
          <cell r="G266">
            <v>20</v>
          </cell>
          <cell r="H266">
            <v>3</v>
          </cell>
          <cell r="I266">
            <v>4.666666666666667</v>
          </cell>
          <cell r="J266">
            <v>5</v>
          </cell>
          <cell r="K266">
            <v>4.666666666666667</v>
          </cell>
          <cell r="L266">
            <v>5</v>
          </cell>
        </row>
        <row r="267">
          <cell r="C267" t="str">
            <v>FABIÁN HERNANDO RAMÍREZ ATEHORTÚA</v>
          </cell>
          <cell r="D267" t="str">
            <v>FACULTAD DE INGENIERÍAS</v>
          </cell>
          <cell r="E267" t="str">
            <v>ECONOMÍA GENERAL</v>
          </cell>
          <cell r="F267" t="str">
            <v>111</v>
          </cell>
          <cell r="G267">
            <v>19</v>
          </cell>
          <cell r="H267">
            <v>6</v>
          </cell>
          <cell r="I267">
            <v>3.3333333333333335</v>
          </cell>
          <cell r="J267">
            <v>3.3571428571428572</v>
          </cell>
          <cell r="K267">
            <v>3.375</v>
          </cell>
          <cell r="L267">
            <v>3.7777777777777781</v>
          </cell>
        </row>
        <row r="268">
          <cell r="C268" t="str">
            <v>JORGE ANDRÉS POLANCO LÓPEZ DE MESA</v>
          </cell>
          <cell r="D268" t="str">
            <v>FACULTAD DE INGENIERÍAS</v>
          </cell>
          <cell r="E268" t="str">
            <v>ÉTICA Y RESPONSABILIDAD SOCIAL</v>
          </cell>
          <cell r="F268" t="str">
            <v>111</v>
          </cell>
          <cell r="G268">
            <v>20</v>
          </cell>
          <cell r="H268">
            <v>12</v>
          </cell>
          <cell r="I268">
            <v>4.666666666666667</v>
          </cell>
          <cell r="J268">
            <v>4.5714285714285712</v>
          </cell>
          <cell r="K268">
            <v>4.666666666666667</v>
          </cell>
          <cell r="L268">
            <v>4.6944444444444438</v>
          </cell>
        </row>
        <row r="269">
          <cell r="C269" t="str">
            <v>JORGE ANDRÉS POLANCO LÓPEZ DE MESA</v>
          </cell>
          <cell r="D269" t="str">
            <v>FACULTAD DE INGENIERÍAS</v>
          </cell>
          <cell r="E269" t="str">
            <v>METODOLOGÍA DE LA INVESTIGACIÓN</v>
          </cell>
          <cell r="F269" t="str">
            <v>112</v>
          </cell>
          <cell r="G269">
            <v>17</v>
          </cell>
          <cell r="H269">
            <v>7</v>
          </cell>
          <cell r="I269">
            <v>4.1428571428571423</v>
          </cell>
          <cell r="J269">
            <v>4.1224489795918364</v>
          </cell>
          <cell r="K269">
            <v>3.9642857142857144</v>
          </cell>
          <cell r="L269">
            <v>4.0952380952380949</v>
          </cell>
        </row>
        <row r="270">
          <cell r="C270" t="str">
            <v>GABRIEL JAIME SALAZAR MARTÍNEZ</v>
          </cell>
          <cell r="D270" t="str">
            <v>FACULTAD DE INGENIERÍAS</v>
          </cell>
          <cell r="E270" t="str">
            <v>GESTIÓN ESTRATÉGICA</v>
          </cell>
          <cell r="F270" t="str">
            <v>111</v>
          </cell>
          <cell r="G270">
            <v>18</v>
          </cell>
          <cell r="H270">
            <v>6</v>
          </cell>
          <cell r="I270">
            <v>4.7222222222222214</v>
          </cell>
          <cell r="J270">
            <v>4.6190476190476186</v>
          </cell>
          <cell r="K270">
            <v>4.708333333333333</v>
          </cell>
          <cell r="L270">
            <v>4.7777777777777777</v>
          </cell>
        </row>
        <row r="271">
          <cell r="C271" t="str">
            <v>GABRIEL JAIME SALAZAR MARTÍNEZ</v>
          </cell>
          <cell r="D271" t="str">
            <v>FACULTAD DE INGENIERÍAS</v>
          </cell>
          <cell r="E271" t="str">
            <v>PROYECTO DE INGENIERÍA II</v>
          </cell>
          <cell r="F271" t="str">
            <v>111</v>
          </cell>
          <cell r="G271">
            <v>18</v>
          </cell>
          <cell r="H271">
            <v>5</v>
          </cell>
          <cell r="I271">
            <v>4.9333333333333336</v>
          </cell>
          <cell r="J271">
            <v>4.6571428571428566</v>
          </cell>
          <cell r="K271">
            <v>4.8500000000000005</v>
          </cell>
          <cell r="L271">
            <v>4.9333333333333336</v>
          </cell>
        </row>
        <row r="272">
          <cell r="C272" t="str">
            <v>EFRAÍN ARANGO SÁNCHEZ</v>
          </cell>
          <cell r="D272" t="str">
            <v>FACULTAD DE INGENIERÍAS</v>
          </cell>
          <cell r="E272" t="str">
            <v>MICROECONOMIA</v>
          </cell>
          <cell r="F272" t="str">
            <v>111</v>
          </cell>
          <cell r="G272">
            <v>30</v>
          </cell>
          <cell r="H272">
            <v>15</v>
          </cell>
          <cell r="I272">
            <v>4.8444444444444441</v>
          </cell>
          <cell r="J272">
            <v>4.6952380952380954</v>
          </cell>
          <cell r="K272">
            <v>4.6833333333333336</v>
          </cell>
          <cell r="L272">
            <v>4.6888888888888891</v>
          </cell>
        </row>
        <row r="273">
          <cell r="C273" t="str">
            <v>CÉSAR AUGUSTO BETANCUR CAÑOLA</v>
          </cell>
          <cell r="D273" t="str">
            <v>FACULTAD DE INGENIERÍAS</v>
          </cell>
          <cell r="E273" t="str">
            <v>INSTITUCIONES FINANCIERAS Y REGULACIÓN</v>
          </cell>
          <cell r="F273" t="str">
            <v>111</v>
          </cell>
          <cell r="G273">
            <v>7</v>
          </cell>
          <cell r="H273">
            <v>5</v>
          </cell>
          <cell r="I273">
            <v>5</v>
          </cell>
          <cell r="J273">
            <v>4.8857142857142861</v>
          </cell>
          <cell r="K273">
            <v>4.9000000000000004</v>
          </cell>
          <cell r="L273">
            <v>4.9333333333333336</v>
          </cell>
        </row>
        <row r="274">
          <cell r="C274" t="str">
            <v>CÉSAR AUGUSTO BETANCUR CAÑOLA</v>
          </cell>
          <cell r="D274" t="str">
            <v>FACULTAD DE INGENIERÍAS</v>
          </cell>
          <cell r="E274" t="str">
            <v>LEGISLACIÓN COMERCIAL  Y LABORAL</v>
          </cell>
          <cell r="F274" t="str">
            <v>111</v>
          </cell>
          <cell r="G274">
            <v>11</v>
          </cell>
          <cell r="H274">
            <v>3</v>
          </cell>
          <cell r="I274">
            <v>4.4444444444444455</v>
          </cell>
          <cell r="J274">
            <v>4.4285714285714288</v>
          </cell>
          <cell r="K274">
            <v>4.416666666666667</v>
          </cell>
          <cell r="L274">
            <v>4.666666666666667</v>
          </cell>
        </row>
        <row r="275">
          <cell r="C275" t="str">
            <v>FREDY OCARIS PEREZ RAMIREZ</v>
          </cell>
          <cell r="D275" t="str">
            <v>FACULTAD DE INGENIERÍAS</v>
          </cell>
          <cell r="E275" t="str">
            <v>SERIES DE TIEMPO</v>
          </cell>
          <cell r="F275" t="str">
            <v>111</v>
          </cell>
          <cell r="G275">
            <v>16</v>
          </cell>
          <cell r="H275">
            <v>6</v>
          </cell>
          <cell r="I275">
            <v>5</v>
          </cell>
          <cell r="J275">
            <v>4.9523809523809517</v>
          </cell>
          <cell r="K275">
            <v>4.958333333333333</v>
          </cell>
          <cell r="L275">
            <v>5</v>
          </cell>
        </row>
        <row r="276">
          <cell r="C276" t="str">
            <v>FREDY OCARIS PEREZ RAMIREZ</v>
          </cell>
          <cell r="D276" t="str">
            <v>FACULTAD DE INGENIERÍAS</v>
          </cell>
          <cell r="E276" t="str">
            <v>SERIES DE TIEMPO</v>
          </cell>
          <cell r="F276" t="str">
            <v>112</v>
          </cell>
          <cell r="G276">
            <v>7</v>
          </cell>
          <cell r="H276">
            <v>2</v>
          </cell>
          <cell r="I276">
            <v>5</v>
          </cell>
          <cell r="J276">
            <v>5</v>
          </cell>
          <cell r="K276">
            <v>4.75</v>
          </cell>
          <cell r="L276">
            <v>5</v>
          </cell>
        </row>
        <row r="277">
          <cell r="C277" t="str">
            <v>FREDY OCARIS PEREZ RAMIREZ</v>
          </cell>
          <cell r="D277" t="str">
            <v>FACULTAD DE INGENIERÍAS</v>
          </cell>
          <cell r="E277" t="str">
            <v>ECONOMETRÍA FINANCIERA</v>
          </cell>
          <cell r="F277" t="str">
            <v>112</v>
          </cell>
          <cell r="G277">
            <v>23</v>
          </cell>
          <cell r="H277">
            <v>16</v>
          </cell>
          <cell r="I277">
            <v>4.979166666666667</v>
          </cell>
          <cell r="J277">
            <v>4.8571428571428568</v>
          </cell>
          <cell r="K277">
            <v>4.890625</v>
          </cell>
          <cell r="L277">
            <v>4.9375</v>
          </cell>
        </row>
        <row r="278">
          <cell r="C278" t="str">
            <v>GUSTAVO ALONSO GUTIÉRREZ RODRÍGUEZ</v>
          </cell>
          <cell r="D278" t="str">
            <v>FACULTAD DE INGENIERÍAS</v>
          </cell>
          <cell r="E278" t="str">
            <v>PRÁCTICA DE MÁQUINAS ELÉCTRICAS</v>
          </cell>
          <cell r="F278" t="str">
            <v>061</v>
          </cell>
          <cell r="G278">
            <v>6</v>
          </cell>
          <cell r="H278">
            <v>2</v>
          </cell>
          <cell r="I278">
            <v>5</v>
          </cell>
          <cell r="J278">
            <v>5</v>
          </cell>
          <cell r="K278">
            <v>5</v>
          </cell>
          <cell r="L278">
            <v>5</v>
          </cell>
        </row>
        <row r="279">
          <cell r="C279" t="str">
            <v>GUSTAVO ALONSO GUTIÉRREZ RODRÍGUEZ</v>
          </cell>
          <cell r="D279" t="str">
            <v>FACULTAD DE INGENIERÍAS</v>
          </cell>
          <cell r="E279" t="str">
            <v>MÁQUINAS ELÉCTRICAS</v>
          </cell>
          <cell r="F279" t="str">
            <v>061</v>
          </cell>
          <cell r="G279">
            <v>6</v>
          </cell>
          <cell r="H279">
            <v>2</v>
          </cell>
          <cell r="I279">
            <v>5</v>
          </cell>
          <cell r="J279">
            <v>5</v>
          </cell>
          <cell r="K279">
            <v>5</v>
          </cell>
          <cell r="L279">
            <v>5</v>
          </cell>
        </row>
        <row r="280">
          <cell r="C280" t="str">
            <v>ESTEBAN OCAMPO ECHEVERRI</v>
          </cell>
          <cell r="D280" t="str">
            <v>FACULTAD DE INGENIERÍAS</v>
          </cell>
          <cell r="E280" t="str">
            <v>METROLOGÍA E INSTRUMENTACIÓN</v>
          </cell>
          <cell r="F280" t="str">
            <v>061</v>
          </cell>
          <cell r="G280">
            <v>6</v>
          </cell>
          <cell r="H280">
            <v>2</v>
          </cell>
          <cell r="I280">
            <v>5</v>
          </cell>
          <cell r="J280">
            <v>5</v>
          </cell>
          <cell r="K280">
            <v>5</v>
          </cell>
          <cell r="L280">
            <v>5</v>
          </cell>
        </row>
        <row r="281">
          <cell r="C281" t="str">
            <v>ÁNGELA MARÍA BELLO GÓMEZ</v>
          </cell>
          <cell r="D281" t="str">
            <v>FACULTAD DE INGENIERÍAS</v>
          </cell>
          <cell r="E281" t="str">
            <v>GESTIÓN AMBIENTAL DE PROYECTOS ENERGÉTICOS</v>
          </cell>
          <cell r="F281" t="str">
            <v>061</v>
          </cell>
          <cell r="G281">
            <v>3</v>
          </cell>
          <cell r="H281">
            <v>2</v>
          </cell>
          <cell r="I281">
            <v>4.166666666666667</v>
          </cell>
          <cell r="J281">
            <v>3.9285714285714284</v>
          </cell>
          <cell r="K281">
            <v>4.375</v>
          </cell>
          <cell r="L281">
            <v>4.5</v>
          </cell>
        </row>
        <row r="282">
          <cell r="C282" t="str">
            <v>LUIS JORGE GÓMEZ GALLÓN</v>
          </cell>
          <cell r="D282" t="str">
            <v>FACULTAD DE INGENIERÍAS</v>
          </cell>
          <cell r="E282" t="str">
            <v>PRÁCTICA DE REDES URBANAS ELÉCTRICAS E ILUMINACIÓN</v>
          </cell>
          <cell r="F282" t="str">
            <v>061</v>
          </cell>
          <cell r="G282">
            <v>5</v>
          </cell>
          <cell r="H282">
            <v>1</v>
          </cell>
          <cell r="I282">
            <v>4</v>
          </cell>
          <cell r="J282">
            <v>4</v>
          </cell>
          <cell r="K282">
            <v>4</v>
          </cell>
          <cell r="L282">
            <v>4</v>
          </cell>
        </row>
        <row r="283">
          <cell r="C283" t="str">
            <v>LUIS JORGE GÓMEZ GALLÓN</v>
          </cell>
          <cell r="D283" t="str">
            <v>FACULTAD DE INGENIERÍAS</v>
          </cell>
          <cell r="E283" t="str">
            <v>REDES URBANAS ELÉCTRICAS E ILUMINACIÓN</v>
          </cell>
          <cell r="F283" t="str">
            <v>061</v>
          </cell>
          <cell r="G283">
            <v>5</v>
          </cell>
          <cell r="H283">
            <v>1</v>
          </cell>
          <cell r="I283">
            <v>4</v>
          </cell>
          <cell r="J283">
            <v>4</v>
          </cell>
          <cell r="K283">
            <v>4</v>
          </cell>
          <cell r="L283">
            <v>4</v>
          </cell>
        </row>
        <row r="284">
          <cell r="C284" t="str">
            <v>ISMAEL SUESCÚN MONSALVE</v>
          </cell>
          <cell r="D284" t="str">
            <v>FACULTAD DE INGENIERÍAS</v>
          </cell>
          <cell r="E284" t="str">
            <v>TURBO MÁQUINAS</v>
          </cell>
          <cell r="F284" t="str">
            <v>061</v>
          </cell>
          <cell r="G284">
            <v>2</v>
          </cell>
          <cell r="H284">
            <v>1</v>
          </cell>
          <cell r="I284">
            <v>5</v>
          </cell>
          <cell r="J284">
            <v>5</v>
          </cell>
          <cell r="K284">
            <v>5</v>
          </cell>
          <cell r="L284">
            <v>5</v>
          </cell>
        </row>
        <row r="285">
          <cell r="C285" t="str">
            <v xml:space="preserve">DANIELA BLESSENT </v>
          </cell>
          <cell r="D285" t="str">
            <v>FACULTAD DE INGENIERÍAS</v>
          </cell>
          <cell r="E285" t="str">
            <v>SEMINARIO DE ENERGÍAS RENOVABLES: ENERGÍA EÓLICA Y ENERGIAS ALTERNATIVAS</v>
          </cell>
          <cell r="F285" t="str">
            <v>061</v>
          </cell>
          <cell r="G285">
            <v>7</v>
          </cell>
          <cell r="H285">
            <v>1</v>
          </cell>
          <cell r="I285">
            <v>3</v>
          </cell>
          <cell r="J285">
            <v>3.1428571428571428</v>
          </cell>
          <cell r="K285">
            <v>3</v>
          </cell>
          <cell r="L285">
            <v>3.3333333333333335</v>
          </cell>
        </row>
        <row r="286">
          <cell r="C286" t="str">
            <v>LUISA FERNANDA VILLA MONTOYA</v>
          </cell>
          <cell r="D286" t="str">
            <v>FACULTAD DE INGENIERÍAS</v>
          </cell>
          <cell r="E286" t="str">
            <v>SEMINARIO DE ENERGÍAS RENOVABLES: ENERGÍA EÓLICA Y ENERGIAS ALTERNATIVAS</v>
          </cell>
          <cell r="F286" t="str">
            <v>061</v>
          </cell>
          <cell r="G286">
            <v>7</v>
          </cell>
          <cell r="H286">
            <v>2</v>
          </cell>
          <cell r="I286">
            <v>2.6666666666666665</v>
          </cell>
          <cell r="J286">
            <v>2</v>
          </cell>
          <cell r="K286">
            <v>2.5</v>
          </cell>
          <cell r="L286">
            <v>2.8333333333333335</v>
          </cell>
        </row>
        <row r="287">
          <cell r="C287" t="str">
            <v>HÉCTOR ALBERTO TAMAYO VILLEGAS</v>
          </cell>
          <cell r="D287" t="str">
            <v>FACULTAD DE INGENIERÍAS</v>
          </cell>
          <cell r="E287" t="str">
            <v>REDES DE TRANSPORTE Y DISTRIBUCIÓN ELÉCTRICA</v>
          </cell>
          <cell r="F287" t="str">
            <v>061</v>
          </cell>
          <cell r="G287">
            <v>5</v>
          </cell>
          <cell r="H287">
            <v>1</v>
          </cell>
          <cell r="I287">
            <v>4</v>
          </cell>
          <cell r="J287">
            <v>4</v>
          </cell>
          <cell r="K287">
            <v>4</v>
          </cell>
          <cell r="L287">
            <v>4</v>
          </cell>
        </row>
        <row r="288">
          <cell r="C288" t="str">
            <v>HÉCTOR ALBERTO TAMAYO VILLEGAS</v>
          </cell>
          <cell r="D288" t="str">
            <v>FACULTAD DE INGENIERÍAS</v>
          </cell>
          <cell r="E288" t="str">
            <v>PRÁCTICA REDES DE TRANSPORTE Y DISTRIBUCIÓN ELÉCTRICA</v>
          </cell>
          <cell r="F288" t="str">
            <v>061</v>
          </cell>
          <cell r="G288">
            <v>5</v>
          </cell>
          <cell r="H288">
            <v>1</v>
          </cell>
          <cell r="I288">
            <v>4</v>
          </cell>
          <cell r="J288">
            <v>4</v>
          </cell>
          <cell r="K288">
            <v>4</v>
          </cell>
          <cell r="L288">
            <v>4</v>
          </cell>
        </row>
        <row r="289">
          <cell r="C289" t="str">
            <v>JORGE IVÁN RAMÍREZ VÁSQUEZ</v>
          </cell>
          <cell r="D289" t="str">
            <v>FACULTAD DE INGENIERÍAS</v>
          </cell>
          <cell r="E289" t="str">
            <v>MERCADOS ENERGÉTICOS</v>
          </cell>
          <cell r="F289" t="str">
            <v>061</v>
          </cell>
          <cell r="G289">
            <v>3</v>
          </cell>
          <cell r="H289">
            <v>1</v>
          </cell>
          <cell r="I289">
            <v>5</v>
          </cell>
          <cell r="J289">
            <v>5</v>
          </cell>
          <cell r="K289">
            <v>5</v>
          </cell>
          <cell r="L289">
            <v>5</v>
          </cell>
        </row>
        <row r="290">
          <cell r="C290" t="str">
            <v>JORGE IVÁN RAMÍREZ VÁSQUEZ</v>
          </cell>
          <cell r="D290" t="str">
            <v>FACULTAD DE INGENIERÍAS</v>
          </cell>
          <cell r="E290" t="str">
            <v>GERENCIA DE LOS SISTEMAS ENERGÉTICOS</v>
          </cell>
          <cell r="F290" t="str">
            <v>061</v>
          </cell>
          <cell r="G290">
            <v>4</v>
          </cell>
          <cell r="H290">
            <v>2</v>
          </cell>
          <cell r="I290">
            <v>5</v>
          </cell>
          <cell r="J290">
            <v>5</v>
          </cell>
          <cell r="K290">
            <v>5</v>
          </cell>
          <cell r="L290">
            <v>5</v>
          </cell>
        </row>
        <row r="291">
          <cell r="C291" t="str">
            <v>WILLMAR DE JESÚS ZAPATA LONDOÑO</v>
          </cell>
          <cell r="D291" t="str">
            <v>FACULTAD DE INGENIERÍAS</v>
          </cell>
          <cell r="E291" t="str">
            <v>EFICIENCIA Y SOSTENIBILIDAD ENERGÉTICA</v>
          </cell>
          <cell r="F291" t="str">
            <v>061</v>
          </cell>
          <cell r="G291">
            <v>2</v>
          </cell>
          <cell r="H291">
            <v>1</v>
          </cell>
          <cell r="I291">
            <v>4</v>
          </cell>
          <cell r="J291">
            <v>4</v>
          </cell>
          <cell r="K291">
            <v>4</v>
          </cell>
          <cell r="L291">
            <v>4.333333333333333</v>
          </cell>
        </row>
        <row r="292">
          <cell r="C292" t="str">
            <v>WILLMAR DE JESÚS ZAPATA LONDOÑO</v>
          </cell>
          <cell r="D292" t="str">
            <v>FACULTAD DE INGENIERÍAS</v>
          </cell>
          <cell r="E292" t="str">
            <v>ÉNFASIS II: ANÁLISIS LEGAL, AMBIENTAL Y ECONÓMICO DE PCH</v>
          </cell>
          <cell r="F292" t="str">
            <v>061</v>
          </cell>
          <cell r="G292">
            <v>8</v>
          </cell>
          <cell r="H292">
            <v>3</v>
          </cell>
          <cell r="I292">
            <v>4.666666666666667</v>
          </cell>
          <cell r="J292">
            <v>4.666666666666667</v>
          </cell>
          <cell r="K292">
            <v>4.666666666666667</v>
          </cell>
          <cell r="L292">
            <v>4.666666666666667</v>
          </cell>
        </row>
        <row r="293">
          <cell r="C293" t="str">
            <v>CARLOS ANDRÉS ARREDONDO OROZCO</v>
          </cell>
          <cell r="D293" t="str">
            <v>FACULTAD DE INGENIERÍAS</v>
          </cell>
          <cell r="E293" t="str">
            <v>SEMINARIO DE ENERGÍAS RENOVABLES: ENERGÍA SOLAR</v>
          </cell>
          <cell r="F293" t="str">
            <v>061</v>
          </cell>
          <cell r="G293">
            <v>3</v>
          </cell>
          <cell r="H293">
            <v>1</v>
          </cell>
          <cell r="I293">
            <v>5</v>
          </cell>
          <cell r="J293">
            <v>4.4285714285714288</v>
          </cell>
          <cell r="K293">
            <v>4.25</v>
          </cell>
          <cell r="L293">
            <v>4.333333333333333</v>
          </cell>
        </row>
        <row r="294">
          <cell r="C294" t="str">
            <v>CARLOS ANDRÉS ARREDONDO OROZCO</v>
          </cell>
          <cell r="D294" t="str">
            <v>FACULTAD DE INGENIERÍAS</v>
          </cell>
          <cell r="E294" t="str">
            <v>PRÁCTICA DE CIRCUITOS DE CORRIENTE CONTINUA Y CORRIENTE ALTERNA</v>
          </cell>
          <cell r="F294" t="str">
            <v>061</v>
          </cell>
          <cell r="G294">
            <v>3</v>
          </cell>
          <cell r="H294">
            <v>1</v>
          </cell>
          <cell r="I294">
            <v>3.3333333333333335</v>
          </cell>
          <cell r="J294">
            <v>4</v>
          </cell>
          <cell r="K294">
            <v>3.75</v>
          </cell>
          <cell r="L294">
            <v>4</v>
          </cell>
        </row>
        <row r="295">
          <cell r="C295" t="str">
            <v>CARLOS ANDRÉS ARREDONDO OROZCO</v>
          </cell>
          <cell r="D295" t="str">
            <v>FACULTAD DE INGENIERÍAS</v>
          </cell>
          <cell r="E295" t="str">
            <v>CIRCUITOS DE CORRIENTE CONTINUA Y CORRIENTE ALTERNA</v>
          </cell>
          <cell r="F295" t="str">
            <v>061</v>
          </cell>
          <cell r="G295">
            <v>3</v>
          </cell>
          <cell r="H295">
            <v>2</v>
          </cell>
          <cell r="I295">
            <v>4.333333333333333</v>
          </cell>
          <cell r="J295">
            <v>4.5</v>
          </cell>
          <cell r="K295">
            <v>4.375</v>
          </cell>
          <cell r="L295">
            <v>4.666666666666667</v>
          </cell>
        </row>
        <row r="296">
          <cell r="C296" t="str">
            <v>SEBASTIÁN VILLEGAS MONCADA</v>
          </cell>
          <cell r="D296" t="str">
            <v>FACULTAD DE INGENIERÍAS</v>
          </cell>
          <cell r="E296" t="str">
            <v>PRÁCTICA DE TRANSFERENCIA DE CALOR</v>
          </cell>
          <cell r="F296" t="str">
            <v>061</v>
          </cell>
          <cell r="G296">
            <v>5</v>
          </cell>
          <cell r="H296">
            <v>2</v>
          </cell>
          <cell r="I296">
            <v>5</v>
          </cell>
          <cell r="J296">
            <v>5</v>
          </cell>
          <cell r="K296">
            <v>5</v>
          </cell>
          <cell r="L296">
            <v>5</v>
          </cell>
        </row>
        <row r="297">
          <cell r="C297" t="str">
            <v>SEBASTIÁN VILLEGAS MONCADA</v>
          </cell>
          <cell r="D297" t="str">
            <v>FACULTAD DE INGENIERÍAS</v>
          </cell>
          <cell r="E297" t="str">
            <v>TRANSFERENCIA DE CALOR</v>
          </cell>
          <cell r="F297" t="str">
            <v>061</v>
          </cell>
          <cell r="G297">
            <v>5</v>
          </cell>
          <cell r="H297">
            <v>2</v>
          </cell>
          <cell r="I297">
            <v>5</v>
          </cell>
          <cell r="J297">
            <v>5</v>
          </cell>
          <cell r="K297">
            <v>5</v>
          </cell>
          <cell r="L297">
            <v>5</v>
          </cell>
        </row>
        <row r="298">
          <cell r="C298" t="str">
            <v>ÁLVARO LEÓN DELGADO MEJÍA</v>
          </cell>
          <cell r="D298" t="str">
            <v>FACULTAD DE INGENIERÍAS</v>
          </cell>
          <cell r="E298" t="str">
            <v>PRÁCTICA DE CICLOS Y MÁQUINAS TÉRMICAS</v>
          </cell>
          <cell r="F298" t="str">
            <v>061</v>
          </cell>
          <cell r="G298">
            <v>4</v>
          </cell>
          <cell r="H298">
            <v>3</v>
          </cell>
          <cell r="I298">
            <v>5</v>
          </cell>
          <cell r="J298">
            <v>4.8571428571428568</v>
          </cell>
          <cell r="K298">
            <v>4.916666666666667</v>
          </cell>
          <cell r="L298">
            <v>5</v>
          </cell>
        </row>
        <row r="299">
          <cell r="C299" t="str">
            <v>ÁLVARO LEÓN DELGADO MEJÍA</v>
          </cell>
          <cell r="D299" t="str">
            <v>FACULTAD DE INGENIERÍAS</v>
          </cell>
          <cell r="E299" t="str">
            <v>CICLOS Y MÁQUINAS TÉRMICAS</v>
          </cell>
          <cell r="F299" t="str">
            <v>061</v>
          </cell>
          <cell r="G299">
            <v>4</v>
          </cell>
          <cell r="H299">
            <v>4</v>
          </cell>
          <cell r="I299">
            <v>4.916666666666667</v>
          </cell>
          <cell r="J299">
            <v>4.7857142857142856</v>
          </cell>
          <cell r="K299">
            <v>4.9375</v>
          </cell>
          <cell r="L299">
            <v>4.833333333333333</v>
          </cell>
        </row>
        <row r="300">
          <cell r="C300" t="str">
            <v>NATALIA GOMEZ VELÁSQUEZ</v>
          </cell>
          <cell r="D300" t="str">
            <v>FACULTAD DE INGENIERÍAS</v>
          </cell>
          <cell r="E300" t="str">
            <v>INNOVACIÓN Y GESTIÓN TECNOLÓGICA</v>
          </cell>
          <cell r="F300" t="str">
            <v>161</v>
          </cell>
          <cell r="G300">
            <v>3</v>
          </cell>
          <cell r="H300">
            <v>1</v>
          </cell>
          <cell r="I300">
            <v>5</v>
          </cell>
          <cell r="J300">
            <v>5</v>
          </cell>
          <cell r="K300">
            <v>5</v>
          </cell>
          <cell r="L300">
            <v>5</v>
          </cell>
        </row>
        <row r="301">
          <cell r="C301" t="str">
            <v>NATALIA GOMEZ VELÁSQUEZ</v>
          </cell>
          <cell r="D301" t="str">
            <v>FACULTAD DE INGENIERÍAS</v>
          </cell>
          <cell r="E301" t="str">
            <v>REDES INDUSTRIALES</v>
          </cell>
          <cell r="F301" t="str">
            <v>161</v>
          </cell>
          <cell r="G301">
            <v>8</v>
          </cell>
          <cell r="H301">
            <v>3</v>
          </cell>
          <cell r="I301">
            <v>5</v>
          </cell>
          <cell r="J301">
            <v>5</v>
          </cell>
          <cell r="K301">
            <v>5</v>
          </cell>
          <cell r="L301">
            <v>5</v>
          </cell>
        </row>
        <row r="302">
          <cell r="C302" t="str">
            <v>RONAL ALEXANDER ÁLVAREZ VALENCIA</v>
          </cell>
          <cell r="D302" t="str">
            <v>FACULTAD DE INGENIERÍAS</v>
          </cell>
          <cell r="E302" t="str">
            <v>ESTUDIO DEL TRABAJO</v>
          </cell>
          <cell r="F302" t="str">
            <v>161</v>
          </cell>
          <cell r="G302">
            <v>4</v>
          </cell>
          <cell r="H302">
            <v>2</v>
          </cell>
          <cell r="I302">
            <v>3.6666666666666665</v>
          </cell>
          <cell r="J302">
            <v>3.7857142857142856</v>
          </cell>
          <cell r="K302">
            <v>3.75</v>
          </cell>
          <cell r="L302">
            <v>3.8333333333333335</v>
          </cell>
        </row>
        <row r="303">
          <cell r="C303" t="str">
            <v>RONAL ALEXANDER ÁLVAREZ VALENCIA</v>
          </cell>
          <cell r="D303" t="str">
            <v>FACULTAD DE INGENIERÍAS</v>
          </cell>
          <cell r="E303" t="str">
            <v>ÉNFASIS I: TRANSFORMACION DIGITAL EN LA INDUSTRIA</v>
          </cell>
          <cell r="F303" t="str">
            <v>161</v>
          </cell>
          <cell r="G303">
            <v>4</v>
          </cell>
          <cell r="H303">
            <v>3</v>
          </cell>
          <cell r="I303">
            <v>4.7777777777777777</v>
          </cell>
          <cell r="J303">
            <v>4.7142857142857144</v>
          </cell>
          <cell r="K303">
            <v>4.666666666666667</v>
          </cell>
          <cell r="L303">
            <v>4.4444444444444438</v>
          </cell>
        </row>
        <row r="304">
          <cell r="C304" t="str">
            <v>JORGE MARIO CASTRILLÓN OCAMPO</v>
          </cell>
          <cell r="D304" t="str">
            <v>FACULTAD DE INGENIERÍAS</v>
          </cell>
          <cell r="E304" t="str">
            <v>SISTEMAS LOGÍSTICO</v>
          </cell>
          <cell r="F304" t="str">
            <v>161</v>
          </cell>
          <cell r="G304">
            <v>10</v>
          </cell>
          <cell r="H304">
            <v>2</v>
          </cell>
          <cell r="I304">
            <v>2.5</v>
          </cell>
          <cell r="J304">
            <v>2.2857142857142856</v>
          </cell>
          <cell r="K304">
            <v>2.625</v>
          </cell>
          <cell r="L304">
            <v>4</v>
          </cell>
        </row>
        <row r="305">
          <cell r="C305" t="str">
            <v>JORGE MARIO CASTRILLÓN OCAMPO</v>
          </cell>
          <cell r="D305" t="str">
            <v>FACULTAD DE INGENIERÍAS</v>
          </cell>
          <cell r="E305" t="str">
            <v>PROGRAMACIÓN Y CONTROL DE OPERACIONES</v>
          </cell>
          <cell r="F305" t="str">
            <v>161</v>
          </cell>
          <cell r="G305">
            <v>10</v>
          </cell>
          <cell r="H305">
            <v>2</v>
          </cell>
          <cell r="I305">
            <v>3.1666666666666665</v>
          </cell>
          <cell r="J305">
            <v>3.3571428571428572</v>
          </cell>
          <cell r="K305">
            <v>3.125</v>
          </cell>
          <cell r="L305">
            <v>4</v>
          </cell>
        </row>
        <row r="306">
          <cell r="C306" t="str">
            <v>LUZ MARCELA RESTREPO TAMAYO</v>
          </cell>
          <cell r="D306" t="str">
            <v>FACULTAD DE INGENIERÍAS</v>
          </cell>
          <cell r="E306" t="str">
            <v>CALIDAD Y MEJORAMIENTO CONTINUO</v>
          </cell>
          <cell r="F306" t="str">
            <v>161</v>
          </cell>
          <cell r="G306">
            <v>7</v>
          </cell>
          <cell r="H306">
            <v>3</v>
          </cell>
          <cell r="I306">
            <v>5</v>
          </cell>
          <cell r="J306">
            <v>4.666666666666667</v>
          </cell>
          <cell r="K306">
            <v>4.5000000000000009</v>
          </cell>
          <cell r="L306">
            <v>4.666666666666667</v>
          </cell>
        </row>
        <row r="307">
          <cell r="C307" t="str">
            <v>CAMILO CORREA COLORADO</v>
          </cell>
          <cell r="D307" t="str">
            <v>FACULTAD DE INGENIERÍAS</v>
          </cell>
          <cell r="E307" t="str">
            <v>GERENCIA DE OPERACIONES</v>
          </cell>
          <cell r="F307" t="str">
            <v>161</v>
          </cell>
          <cell r="G307">
            <v>14</v>
          </cell>
          <cell r="H307">
            <v>2</v>
          </cell>
          <cell r="I307">
            <v>4.5</v>
          </cell>
          <cell r="J307">
            <v>4.5</v>
          </cell>
          <cell r="K307">
            <v>4.625</v>
          </cell>
          <cell r="L307">
            <v>4.666666666666667</v>
          </cell>
        </row>
        <row r="308">
          <cell r="C308" t="str">
            <v>CAMILO CORREA COLORADO</v>
          </cell>
          <cell r="D308" t="str">
            <v>FACULTAD DE INGENIERÍAS</v>
          </cell>
          <cell r="E308" t="str">
            <v>ÉNFASIS II: PRODUCCIÓN 4.0</v>
          </cell>
          <cell r="F308" t="str">
            <v>161</v>
          </cell>
          <cell r="G308">
            <v>13</v>
          </cell>
          <cell r="H308">
            <v>5</v>
          </cell>
          <cell r="I308">
            <v>4.3999999999999995</v>
          </cell>
          <cell r="J308">
            <v>4.6285714285714281</v>
          </cell>
          <cell r="K308">
            <v>4.0999999999999996</v>
          </cell>
          <cell r="L308">
            <v>3.8666666666666671</v>
          </cell>
        </row>
        <row r="309">
          <cell r="C309" t="str">
            <v>ÁNGELA MARÍA GÓMEZ RESTREPO</v>
          </cell>
          <cell r="D309" t="str">
            <v>FACULTAD DE INGENIERÍAS</v>
          </cell>
          <cell r="E309" t="str">
            <v>PLANEACIÓN FINANCIERA</v>
          </cell>
          <cell r="F309" t="str">
            <v>161</v>
          </cell>
          <cell r="G309">
            <v>5</v>
          </cell>
          <cell r="H309">
            <v>3</v>
          </cell>
          <cell r="I309">
            <v>4.666666666666667</v>
          </cell>
          <cell r="J309">
            <v>4.4761904761904763</v>
          </cell>
          <cell r="K309">
            <v>4.5833333333333339</v>
          </cell>
          <cell r="L309">
            <v>4.7777777777777786</v>
          </cell>
        </row>
        <row r="310">
          <cell r="C310" t="str">
            <v>ELIZABETH TATIANA ARROYAVE CATAÑO</v>
          </cell>
          <cell r="D310" t="str">
            <v>FACULTAD DE INGENIERÍAS</v>
          </cell>
          <cell r="E310" t="str">
            <v>PRINCIPIOS DE CONTABILIDAD Y COSTOS</v>
          </cell>
          <cell r="F310" t="str">
            <v>161</v>
          </cell>
          <cell r="G310">
            <v>15</v>
          </cell>
          <cell r="H310">
            <v>7</v>
          </cell>
          <cell r="I310">
            <v>2.7619047619047614</v>
          </cell>
          <cell r="J310">
            <v>2.6734693877551021</v>
          </cell>
          <cell r="K310">
            <v>2.5357142857142856</v>
          </cell>
          <cell r="L310">
            <v>2.714285714285714</v>
          </cell>
        </row>
        <row r="311">
          <cell r="C311" t="str">
            <v>DUBY SULAY CASTELLANOS CÁRDENAS</v>
          </cell>
          <cell r="D311" t="str">
            <v>FACULTAD DE INGENIERÍAS</v>
          </cell>
          <cell r="E311" t="str">
            <v>FUNDAMENTOS DE AUTOMATIZACIÓN Y CONTROL</v>
          </cell>
          <cell r="F311" t="str">
            <v>161</v>
          </cell>
          <cell r="G311">
            <v>4</v>
          </cell>
          <cell r="H311">
            <v>4</v>
          </cell>
          <cell r="I311">
            <v>4.583333333333333</v>
          </cell>
          <cell r="J311">
            <v>4.6071428571428568</v>
          </cell>
          <cell r="K311">
            <v>4.75</v>
          </cell>
          <cell r="L311">
            <v>4.833333333333333</v>
          </cell>
        </row>
        <row r="312">
          <cell r="C312" t="str">
            <v>MARÍA TATIANA MEJÍA SIERRA</v>
          </cell>
          <cell r="D312" t="str">
            <v>FACULTAD DE INGENIERÍAS</v>
          </cell>
          <cell r="E312" t="str">
            <v>GESTIÓN DEL TALENTO HUMANO</v>
          </cell>
          <cell r="F312" t="str">
            <v>161</v>
          </cell>
          <cell r="G312">
            <v>5</v>
          </cell>
          <cell r="H312">
            <v>2</v>
          </cell>
          <cell r="I312">
            <v>4.833333333333333</v>
          </cell>
          <cell r="J312">
            <v>4.5714285714285712</v>
          </cell>
          <cell r="K312">
            <v>4.625</v>
          </cell>
          <cell r="L312">
            <v>4.333333333333333</v>
          </cell>
        </row>
        <row r="313">
          <cell r="C313" t="str">
            <v>MARÍA TATIANA MEJÍA SIERRA</v>
          </cell>
          <cell r="D313" t="str">
            <v>FACULTAD DE INGENIERÍAS</v>
          </cell>
          <cell r="E313" t="str">
            <v>CONSTITUCIÓN Y DERECHO COMERCIAL</v>
          </cell>
          <cell r="F313" t="str">
            <v>161</v>
          </cell>
          <cell r="G313">
            <v>3</v>
          </cell>
          <cell r="H313">
            <v>2</v>
          </cell>
          <cell r="I313">
            <v>4.333333333333333</v>
          </cell>
          <cell r="J313">
            <v>4</v>
          </cell>
          <cell r="K313">
            <v>3.125</v>
          </cell>
          <cell r="L313">
            <v>2.3333333333333335</v>
          </cell>
        </row>
        <row r="314">
          <cell r="C314" t="str">
            <v>MARÍA TATIANA MEJÍA SIERRA</v>
          </cell>
          <cell r="D314" t="str">
            <v>FACULTAD DE INGENIERÍAS</v>
          </cell>
          <cell r="E314" t="str">
            <v>ÉTICA Y RESPONSABILIDAD SOCIAL CORPORATIVA</v>
          </cell>
          <cell r="F314" t="str">
            <v>161</v>
          </cell>
          <cell r="G314">
            <v>5</v>
          </cell>
          <cell r="H314">
            <v>1</v>
          </cell>
          <cell r="I314">
            <v>5</v>
          </cell>
          <cell r="J314">
            <v>5</v>
          </cell>
          <cell r="K314">
            <v>5</v>
          </cell>
          <cell r="L314">
            <v>5</v>
          </cell>
        </row>
        <row r="315">
          <cell r="C315" t="str">
            <v>XIMENA GAVIRIA GÓMEZ</v>
          </cell>
          <cell r="D315" t="str">
            <v>FACULTAD DE INGENIERÍAS</v>
          </cell>
          <cell r="E315" t="str">
            <v>CIENCIA DE LOS MATERIALES</v>
          </cell>
          <cell r="F315" t="str">
            <v>161</v>
          </cell>
          <cell r="G315">
            <v>5</v>
          </cell>
          <cell r="H315">
            <v>3</v>
          </cell>
          <cell r="I315">
            <v>4.7777777777777777</v>
          </cell>
          <cell r="J315">
            <v>4.9047619047619051</v>
          </cell>
          <cell r="K315">
            <v>4.916666666666667</v>
          </cell>
          <cell r="L315">
            <v>4.8888888888888893</v>
          </cell>
        </row>
        <row r="316">
          <cell r="C316" t="str">
            <v>XIMENA GAVIRIA GÓMEZ</v>
          </cell>
          <cell r="D316" t="str">
            <v>FACULTAD DE INGENIERÍAS</v>
          </cell>
          <cell r="E316" t="str">
            <v>PROCESOS DE MANUFACTURA</v>
          </cell>
          <cell r="F316" t="str">
            <v>161</v>
          </cell>
          <cell r="G316">
            <v>13</v>
          </cell>
          <cell r="H316">
            <v>7</v>
          </cell>
          <cell r="I316">
            <v>4.5714285714285712</v>
          </cell>
          <cell r="J316">
            <v>4.4693877551020407</v>
          </cell>
          <cell r="K316">
            <v>4.3928571428571432</v>
          </cell>
          <cell r="L316">
            <v>4.4285714285714279</v>
          </cell>
        </row>
        <row r="317">
          <cell r="C317" t="str">
            <v>ALEJANDRA BALAGUERA QUINTERO</v>
          </cell>
          <cell r="D317" t="str">
            <v>FACULTAD DE INGENIERÍAS</v>
          </cell>
          <cell r="E317" t="str">
            <v>ÉNFASIS III: PRODUCCION RESPONSABLE</v>
          </cell>
          <cell r="F317" t="str">
            <v>161</v>
          </cell>
          <cell r="G317">
            <v>13</v>
          </cell>
          <cell r="H317">
            <v>2</v>
          </cell>
          <cell r="I317">
            <v>5</v>
          </cell>
          <cell r="J317">
            <v>5</v>
          </cell>
          <cell r="K317">
            <v>5</v>
          </cell>
          <cell r="L317">
            <v>5</v>
          </cell>
        </row>
        <row r="318">
          <cell r="C318" t="str">
            <v>MARÍA ANGÉLICA FORGIONNY FLÓREZ</v>
          </cell>
          <cell r="D318" t="str">
            <v>FACULTAD DE INGENIERÍAS</v>
          </cell>
          <cell r="E318" t="str">
            <v>QUÍMICA INORGÁNICA</v>
          </cell>
          <cell r="F318" t="str">
            <v>161</v>
          </cell>
          <cell r="G318">
            <v>16</v>
          </cell>
          <cell r="H318">
            <v>5</v>
          </cell>
          <cell r="I318">
            <v>4.8</v>
          </cell>
          <cell r="J318">
            <v>4.7428571428571429</v>
          </cell>
          <cell r="K318">
            <v>4.8</v>
          </cell>
          <cell r="L318">
            <v>4.8</v>
          </cell>
        </row>
        <row r="319">
          <cell r="C319" t="str">
            <v>MARÍA ANGÉLICA FORGIONNY FLÓREZ</v>
          </cell>
          <cell r="D319" t="str">
            <v>FACULTAD DE INGENIERÍAS</v>
          </cell>
          <cell r="E319" t="str">
            <v>PRÁCTICA DE QUÍMICA INORGÁNICA</v>
          </cell>
          <cell r="F319" t="str">
            <v>161</v>
          </cell>
          <cell r="G319">
            <v>16</v>
          </cell>
          <cell r="H319">
            <v>5</v>
          </cell>
          <cell r="I319">
            <v>4.7333333333333334</v>
          </cell>
          <cell r="J319">
            <v>4.7714285714285714</v>
          </cell>
          <cell r="K319">
            <v>4.75</v>
          </cell>
          <cell r="L319">
            <v>4.7333333333333334</v>
          </cell>
        </row>
        <row r="320">
          <cell r="C320" t="str">
            <v>RICARDO ANTONIO OSORNO OSPINA</v>
          </cell>
          <cell r="D320" t="str">
            <v>FACULTAD DE INGENIERÍAS</v>
          </cell>
          <cell r="E320" t="str">
            <v>ERGONOMÍA, SALUD Y SEGURIDAD INDUSTRIAL</v>
          </cell>
          <cell r="F320" t="str">
            <v>161</v>
          </cell>
          <cell r="G320">
            <v>3</v>
          </cell>
          <cell r="H320">
            <v>1</v>
          </cell>
          <cell r="I320">
            <v>5</v>
          </cell>
          <cell r="J320">
            <v>5</v>
          </cell>
          <cell r="K320">
            <v>5</v>
          </cell>
          <cell r="L320">
            <v>5</v>
          </cell>
        </row>
        <row r="321">
          <cell r="C321" t="str">
            <v>RICARDO ANTONIO OSORNO OSPINA</v>
          </cell>
          <cell r="D321" t="str">
            <v>FACULTAD DE INGENIERÍAS</v>
          </cell>
          <cell r="E321" t="str">
            <v>GESTIÓN DEL TALENTO HUMANO Y RIESGO LABORALES</v>
          </cell>
          <cell r="F321" t="str">
            <v>161</v>
          </cell>
          <cell r="G321">
            <v>4</v>
          </cell>
          <cell r="H321">
            <v>3</v>
          </cell>
          <cell r="I321">
            <v>5</v>
          </cell>
          <cell r="J321">
            <v>5</v>
          </cell>
          <cell r="K321">
            <v>5</v>
          </cell>
          <cell r="L321">
            <v>5</v>
          </cell>
        </row>
        <row r="322">
          <cell r="C322" t="str">
            <v>HORACIO FERNÁNDEZ CASTAÑO</v>
          </cell>
          <cell r="D322" t="str">
            <v>FACULTAD DE INGENIERÍAS</v>
          </cell>
          <cell r="E322" t="str">
            <v>INVESTIGACIÓN DE OPERACIONES II</v>
          </cell>
          <cell r="F322" t="str">
            <v>161</v>
          </cell>
          <cell r="G322">
            <v>5</v>
          </cell>
          <cell r="H322">
            <v>2</v>
          </cell>
          <cell r="I322">
            <v>4.5</v>
          </cell>
          <cell r="J322">
            <v>4.2857142857142856</v>
          </cell>
          <cell r="K322">
            <v>4.5</v>
          </cell>
          <cell r="L322">
            <v>4.5</v>
          </cell>
        </row>
        <row r="323">
          <cell r="C323" t="str">
            <v>JORGE ANDRÉS POLANCO LÓPEZ DE MESA</v>
          </cell>
          <cell r="D323" t="str">
            <v>FACULTAD DE INGENIERÍAS</v>
          </cell>
          <cell r="E323" t="str">
            <v>METODOLOGÍA DE LA INVESTIGACION</v>
          </cell>
          <cell r="F323" t="str">
            <v>161</v>
          </cell>
          <cell r="G323">
            <v>7</v>
          </cell>
          <cell r="H323">
            <v>1</v>
          </cell>
          <cell r="I323">
            <v>5</v>
          </cell>
          <cell r="J323">
            <v>5</v>
          </cell>
          <cell r="K323">
            <v>5</v>
          </cell>
          <cell r="L323">
            <v>5</v>
          </cell>
        </row>
        <row r="324">
          <cell r="C324" t="str">
            <v>JOHN FREDY LÓPEZ PÉREZ</v>
          </cell>
          <cell r="D324" t="str">
            <v>FACULTAD DE INGENIERÍAS</v>
          </cell>
          <cell r="E324" t="str">
            <v>PRODUCCIÓN Y CONSUMO SOSTENIBLE</v>
          </cell>
          <cell r="F324" t="str">
            <v>161</v>
          </cell>
          <cell r="G324">
            <v>3</v>
          </cell>
          <cell r="H324">
            <v>1</v>
          </cell>
          <cell r="I324">
            <v>5</v>
          </cell>
          <cell r="J324">
            <v>5</v>
          </cell>
          <cell r="K324">
            <v>5</v>
          </cell>
          <cell r="L324">
            <v>5</v>
          </cell>
        </row>
        <row r="325">
          <cell r="C325" t="str">
            <v>JULIO CÉSAR RENDÓN CARVAJAL</v>
          </cell>
          <cell r="D325" t="str">
            <v>FACULTAD DE INGENIERÍAS</v>
          </cell>
          <cell r="E325" t="str">
            <v>DIBUJO DE INGENIERÍA DE PRODUCTO</v>
          </cell>
          <cell r="F325" t="str">
            <v>161</v>
          </cell>
          <cell r="G325">
            <v>8</v>
          </cell>
          <cell r="H325">
            <v>6</v>
          </cell>
          <cell r="I325">
            <v>5</v>
          </cell>
          <cell r="J325">
            <v>4.9523809523809517</v>
          </cell>
          <cell r="K325">
            <v>4.7916666666666661</v>
          </cell>
          <cell r="L325">
            <v>4.8888888888888893</v>
          </cell>
        </row>
        <row r="326">
          <cell r="C326" t="str">
            <v>LEONARDO LOPERA VALENCIA</v>
          </cell>
          <cell r="D326" t="str">
            <v>FACULTAD DE INGENIERÍAS</v>
          </cell>
          <cell r="E326" t="str">
            <v>INTRODUCCIÓN A LA INGENIERÍA INDUSTRIAL</v>
          </cell>
          <cell r="F326" t="str">
            <v>161</v>
          </cell>
          <cell r="G326">
            <v>8</v>
          </cell>
          <cell r="H326">
            <v>4</v>
          </cell>
          <cell r="I326">
            <v>5</v>
          </cell>
          <cell r="J326">
            <v>4.9285714285714288</v>
          </cell>
          <cell r="K326">
            <v>5</v>
          </cell>
          <cell r="L326">
            <v>4.916666666666667</v>
          </cell>
        </row>
        <row r="327">
          <cell r="C327" t="str">
            <v>LEONARDO LOPERA VALENCIA</v>
          </cell>
          <cell r="D327" t="str">
            <v>FACULTAD DE INGENIERÍAS</v>
          </cell>
          <cell r="E327" t="str">
            <v>SISTEMAS TÉRMICOS INDUSTRIALES</v>
          </cell>
          <cell r="F327" t="str">
            <v>161</v>
          </cell>
          <cell r="G327">
            <v>8</v>
          </cell>
          <cell r="H327">
            <v>4</v>
          </cell>
          <cell r="I327">
            <v>4.666666666666667</v>
          </cell>
          <cell r="J327">
            <v>4.7857142857142856</v>
          </cell>
          <cell r="K327">
            <v>4.25</v>
          </cell>
          <cell r="L327">
            <v>5</v>
          </cell>
        </row>
        <row r="328">
          <cell r="C328" t="str">
            <v>LEONARDO LOPERA VALENCIA</v>
          </cell>
          <cell r="D328" t="str">
            <v>FACULTAD DE INGENIERÍAS</v>
          </cell>
          <cell r="E328" t="str">
            <v>PROYECTO DE INGENÍERIA II</v>
          </cell>
          <cell r="F328" t="str">
            <v>161</v>
          </cell>
          <cell r="G328">
            <v>12</v>
          </cell>
          <cell r="H328">
            <v>4</v>
          </cell>
          <cell r="I328">
            <v>4.583333333333333</v>
          </cell>
          <cell r="J328">
            <v>4.4642857142857144</v>
          </cell>
          <cell r="K328">
            <v>4.75</v>
          </cell>
          <cell r="L328">
            <v>4.75</v>
          </cell>
        </row>
        <row r="329">
          <cell r="C329" t="str">
            <v>LEONARDO LOPERA VALENCIA</v>
          </cell>
          <cell r="D329" t="str">
            <v>FACULTAD DE INGENIERÍAS</v>
          </cell>
          <cell r="E329" t="str">
            <v>DISENO DE PLANTAS</v>
          </cell>
          <cell r="F329" t="str">
            <v>161</v>
          </cell>
          <cell r="G329">
            <v>1</v>
          </cell>
          <cell r="H329">
            <v>1</v>
          </cell>
          <cell r="I329">
            <v>4.333333333333333</v>
          </cell>
          <cell r="J329">
            <v>4.1428571428571432</v>
          </cell>
          <cell r="K329">
            <v>4</v>
          </cell>
          <cell r="L329">
            <v>5</v>
          </cell>
        </row>
        <row r="330">
          <cell r="C330" t="str">
            <v>JUAN DAVID PALACIO DOMÍNGUEZ</v>
          </cell>
          <cell r="D330" t="str">
            <v>FACULTAD DE INGENIERÍAS</v>
          </cell>
          <cell r="E330" t="str">
            <v>MODELACIÓN Y OPTIMIZACIÓN DE SISTEMAS DE PRODUCCIÓN</v>
          </cell>
          <cell r="F330" t="str">
            <v>161</v>
          </cell>
          <cell r="G330">
            <v>3</v>
          </cell>
          <cell r="H330">
            <v>2</v>
          </cell>
          <cell r="I330">
            <v>4.5</v>
          </cell>
          <cell r="J330">
            <v>4.4285714285714288</v>
          </cell>
          <cell r="K330">
            <v>4.5</v>
          </cell>
          <cell r="L330">
            <v>4.666666666666667</v>
          </cell>
        </row>
        <row r="331">
          <cell r="C331" t="str">
            <v>JUAN DAVID PALACIO DOMÍNGUEZ</v>
          </cell>
          <cell r="D331" t="str">
            <v>FACULTAD DE INGENIERÍAS</v>
          </cell>
          <cell r="E331" t="str">
            <v>INVESTIGACIÓN DE OPERACIONES I</v>
          </cell>
          <cell r="F331" t="str">
            <v>161</v>
          </cell>
          <cell r="G331">
            <v>5</v>
          </cell>
          <cell r="H331">
            <v>2</v>
          </cell>
          <cell r="I331">
            <v>4.5</v>
          </cell>
          <cell r="J331">
            <v>4.5</v>
          </cell>
          <cell r="K331">
            <v>4.5</v>
          </cell>
          <cell r="L331">
            <v>4.5</v>
          </cell>
        </row>
        <row r="332">
          <cell r="C332" t="str">
            <v>SEBASTIÁN VILLEGAS MONCADA</v>
          </cell>
          <cell r="D332" t="str">
            <v>FACULTAD DE INGENIERÍAS</v>
          </cell>
          <cell r="E332" t="str">
            <v>TERMODINÁMICA</v>
          </cell>
          <cell r="F332" t="str">
            <v>161</v>
          </cell>
          <cell r="G332">
            <v>6</v>
          </cell>
          <cell r="H332">
            <v>1</v>
          </cell>
          <cell r="I332">
            <v>5</v>
          </cell>
          <cell r="J332">
            <v>4.8571428571428568</v>
          </cell>
          <cell r="K332">
            <v>5</v>
          </cell>
          <cell r="L332">
            <v>4.333333333333333</v>
          </cell>
        </row>
        <row r="333">
          <cell r="C333" t="str">
            <v>JULIO CÉSAR ARTEAGA RESTREPO</v>
          </cell>
          <cell r="D333" t="str">
            <v>FACULTAD DE INGENIERÍAS</v>
          </cell>
          <cell r="E333" t="str">
            <v>GERENCIA DE PROYECTOS</v>
          </cell>
          <cell r="F333" t="str">
            <v>161</v>
          </cell>
          <cell r="G333">
            <v>7</v>
          </cell>
          <cell r="H333">
            <v>1</v>
          </cell>
          <cell r="I333">
            <v>2</v>
          </cell>
          <cell r="J333">
            <v>3</v>
          </cell>
          <cell r="K333">
            <v>2.75</v>
          </cell>
          <cell r="L333">
            <v>3.6666666666666665</v>
          </cell>
        </row>
        <row r="334">
          <cell r="C334" t="str">
            <v>JULIO CÉSAR ARTEAGA RESTREPO</v>
          </cell>
          <cell r="D334" t="str">
            <v>FACULTAD DE INGENIERÍAS</v>
          </cell>
          <cell r="E334" t="str">
            <v>GESTIÓN DE LA CADENA DE ABASTECIMIENTO</v>
          </cell>
          <cell r="F334" t="str">
            <v>161</v>
          </cell>
          <cell r="G334">
            <v>4</v>
          </cell>
          <cell r="H334">
            <v>2</v>
          </cell>
          <cell r="I334">
            <v>2.6666666666666665</v>
          </cell>
          <cell r="J334">
            <v>3.2142857142857144</v>
          </cell>
          <cell r="K334">
            <v>2.375</v>
          </cell>
          <cell r="L334">
            <v>3.5</v>
          </cell>
        </row>
        <row r="335">
          <cell r="C335" t="str">
            <v>ESTEBAN OCAMPO ECHEVERRI</v>
          </cell>
          <cell r="D335" t="str">
            <v>FACULTAD DE INGENIERÍAS</v>
          </cell>
          <cell r="E335" t="str">
            <v>CONTROL INDUSTRIAL</v>
          </cell>
          <cell r="F335" t="str">
            <v>001</v>
          </cell>
          <cell r="G335">
            <v>2</v>
          </cell>
          <cell r="H335">
            <v>2</v>
          </cell>
          <cell r="I335">
            <v>5</v>
          </cell>
          <cell r="J335">
            <v>5</v>
          </cell>
          <cell r="K335">
            <v>5</v>
          </cell>
          <cell r="L335">
            <v>5</v>
          </cell>
        </row>
        <row r="336">
          <cell r="C336" t="str">
            <v>ANDRÉS FELIPE OROZCO DUQUE</v>
          </cell>
          <cell r="D336" t="str">
            <v>FACULTAD DE INGENIERÍAS</v>
          </cell>
          <cell r="E336" t="str">
            <v>PROCESAMIENTO DIGITAL DE SEÑALES</v>
          </cell>
          <cell r="F336" t="str">
            <v>061</v>
          </cell>
          <cell r="G336">
            <v>3</v>
          </cell>
          <cell r="H336">
            <v>3</v>
          </cell>
          <cell r="I336">
            <v>5</v>
          </cell>
          <cell r="J336">
            <v>5</v>
          </cell>
          <cell r="K336">
            <v>5</v>
          </cell>
          <cell r="L336">
            <v>5</v>
          </cell>
        </row>
        <row r="337">
          <cell r="C337" t="str">
            <v>JHON JAIR QUIZA MONTEALEGRE</v>
          </cell>
          <cell r="D337" t="str">
            <v>FACULTAD DE INGENIERÍAS</v>
          </cell>
          <cell r="E337" t="str">
            <v>ANÁLISIS DE DATOS</v>
          </cell>
          <cell r="F337" t="str">
            <v>001</v>
          </cell>
          <cell r="G337">
            <v>9</v>
          </cell>
          <cell r="H337">
            <v>7</v>
          </cell>
          <cell r="I337">
            <v>4.7619047619047619</v>
          </cell>
          <cell r="J337">
            <v>4.7346938775510212</v>
          </cell>
          <cell r="K337">
            <v>4.7142857142857144</v>
          </cell>
          <cell r="L337">
            <v>4.8095238095238093</v>
          </cell>
        </row>
        <row r="338">
          <cell r="C338" t="str">
            <v>HERNÁN ALEJANDRO GÓMEZ URREA</v>
          </cell>
          <cell r="D338" t="str">
            <v>FACULTAD DE INGENIERÍAS</v>
          </cell>
          <cell r="E338" t="str">
            <v>FÍSICA COMPUTACIONAL I</v>
          </cell>
          <cell r="F338" t="str">
            <v>001</v>
          </cell>
          <cell r="G338">
            <v>2</v>
          </cell>
          <cell r="H338">
            <v>1</v>
          </cell>
          <cell r="I338">
            <v>5</v>
          </cell>
          <cell r="J338">
            <v>5</v>
          </cell>
          <cell r="K338">
            <v>5</v>
          </cell>
          <cell r="L338">
            <v>5</v>
          </cell>
        </row>
        <row r="339">
          <cell r="C339" t="str">
            <v>ERNESTO MORENO FRÍAS</v>
          </cell>
          <cell r="D339" t="str">
            <v>FACULTAD DE INGENIERÍAS</v>
          </cell>
          <cell r="E339" t="str">
            <v>FUNDAMENTOS DE BIOLOGÍA COMPUTACIONAL</v>
          </cell>
          <cell r="F339" t="str">
            <v>001</v>
          </cell>
          <cell r="G339">
            <v>4</v>
          </cell>
          <cell r="H339">
            <v>2</v>
          </cell>
          <cell r="I339">
            <v>4.5</v>
          </cell>
          <cell r="J339">
            <v>4.3571428571428568</v>
          </cell>
          <cell r="K339">
            <v>4.625</v>
          </cell>
          <cell r="L339">
            <v>4.5</v>
          </cell>
        </row>
        <row r="340">
          <cell r="C340" t="str">
            <v>ERNESTO MORENO FRÍAS</v>
          </cell>
          <cell r="D340" t="str">
            <v>FACULTAD DE INGENIERÍAS</v>
          </cell>
          <cell r="E340" t="str">
            <v>ÉNFASIS II: PROFUNDIZACIÓN EN COMPUTACIÓN CIENTÍFICA II</v>
          </cell>
          <cell r="F340" t="str">
            <v>001</v>
          </cell>
          <cell r="G340">
            <v>5</v>
          </cell>
          <cell r="H340">
            <v>1</v>
          </cell>
          <cell r="I340">
            <v>5</v>
          </cell>
          <cell r="J340">
            <v>5</v>
          </cell>
          <cell r="K340">
            <v>5</v>
          </cell>
          <cell r="L340">
            <v>5</v>
          </cell>
        </row>
        <row r="341">
          <cell r="C341" t="str">
            <v>HERMAN HORACIO JARAMILLO VILLEGAS</v>
          </cell>
          <cell r="D341" t="str">
            <v>FACULTAD DE INGENIERÍAS</v>
          </cell>
          <cell r="E341" t="str">
            <v>MACHINE LEARNING</v>
          </cell>
          <cell r="F341" t="str">
            <v>001</v>
          </cell>
          <cell r="G341">
            <v>2</v>
          </cell>
          <cell r="H341">
            <v>1</v>
          </cell>
          <cell r="I341">
            <v>5</v>
          </cell>
          <cell r="J341">
            <v>5</v>
          </cell>
          <cell r="K341">
            <v>5</v>
          </cell>
          <cell r="L341">
            <v>5</v>
          </cell>
        </row>
        <row r="342">
          <cell r="C342" t="str">
            <v>HERMAN HORACIO JARAMILLO VILLEGAS</v>
          </cell>
          <cell r="D342" t="str">
            <v>FACULTAD DE INGENIERÍAS</v>
          </cell>
          <cell r="E342" t="str">
            <v>ÉNFASIS II: PROFUNDIZACIÓN EN COMPUTACIÓN CIENTÍFICA II</v>
          </cell>
          <cell r="F342" t="str">
            <v>001</v>
          </cell>
          <cell r="G342">
            <v>5</v>
          </cell>
          <cell r="H342">
            <v>1</v>
          </cell>
          <cell r="I342">
            <v>5</v>
          </cell>
          <cell r="J342">
            <v>5</v>
          </cell>
          <cell r="K342">
            <v>5</v>
          </cell>
          <cell r="L342">
            <v>5</v>
          </cell>
        </row>
        <row r="343">
          <cell r="C343" t="str">
            <v>FRANCISCO JOSÉ CARO LOPERA</v>
          </cell>
          <cell r="D343" t="str">
            <v>FACULTAD DE INGENIERÍAS</v>
          </cell>
          <cell r="E343" t="str">
            <v>ESTADÍSTICA I</v>
          </cell>
          <cell r="F343" t="str">
            <v>001</v>
          </cell>
          <cell r="G343">
            <v>3</v>
          </cell>
          <cell r="H343">
            <v>1</v>
          </cell>
          <cell r="I343">
            <v>4.666666666666667</v>
          </cell>
          <cell r="J343">
            <v>4.2857142857142856</v>
          </cell>
          <cell r="K343">
            <v>4.75</v>
          </cell>
          <cell r="L343">
            <v>5</v>
          </cell>
        </row>
        <row r="344">
          <cell r="C344" t="str">
            <v>FRANCISCO JOSÉ CARO LOPERA</v>
          </cell>
          <cell r="D344" t="str">
            <v>FACULTAD DE INGENIERÍAS</v>
          </cell>
          <cell r="E344" t="str">
            <v>ESTADÍSTICA II</v>
          </cell>
          <cell r="F344" t="str">
            <v>001</v>
          </cell>
          <cell r="G344">
            <v>3</v>
          </cell>
          <cell r="H344">
            <v>2</v>
          </cell>
          <cell r="I344">
            <v>3.6666666666666665</v>
          </cell>
          <cell r="J344">
            <v>3.6428571428571428</v>
          </cell>
          <cell r="K344">
            <v>4.625</v>
          </cell>
          <cell r="L344">
            <v>4.833333333333333</v>
          </cell>
        </row>
        <row r="345">
          <cell r="C345" t="str">
            <v>JULIAN DAVID CORREA ABAD</v>
          </cell>
          <cell r="D345" t="str">
            <v>FACULTAD DE INGENIERÍAS</v>
          </cell>
          <cell r="E345" t="str">
            <v>FUNDAMENTOS DE PROGRAMACIÓN CIENTÍFICA</v>
          </cell>
          <cell r="F345" t="str">
            <v>001</v>
          </cell>
          <cell r="G345">
            <v>13</v>
          </cell>
          <cell r="H345">
            <v>6</v>
          </cell>
          <cell r="I345">
            <v>4.7777777777777777</v>
          </cell>
          <cell r="J345">
            <v>4.6904761904761907</v>
          </cell>
          <cell r="K345">
            <v>4.666666666666667</v>
          </cell>
          <cell r="L345">
            <v>4.833333333333333</v>
          </cell>
        </row>
        <row r="346">
          <cell r="C346" t="str">
            <v>ALEX MARCELO TAPIA CASANOVA</v>
          </cell>
          <cell r="D346" t="str">
            <v>FACULTAD DE INGENIERÍAS</v>
          </cell>
          <cell r="E346" t="str">
            <v>SIMULACIONES DE SISTEMAS COMPLEJOS</v>
          </cell>
          <cell r="F346" t="str">
            <v>001</v>
          </cell>
          <cell r="G346">
            <v>1</v>
          </cell>
          <cell r="H346">
            <v>1</v>
          </cell>
          <cell r="I346">
            <v>5</v>
          </cell>
          <cell r="J346">
            <v>5</v>
          </cell>
          <cell r="K346">
            <v>5</v>
          </cell>
          <cell r="L346">
            <v>5</v>
          </cell>
        </row>
        <row r="347">
          <cell r="C347" t="str">
            <v>ALEX MARCELO TAPIA CASANOVA</v>
          </cell>
          <cell r="D347" t="str">
            <v>FACULTAD DE INGENIERÍAS</v>
          </cell>
          <cell r="E347" t="str">
            <v>INTRODUCCIÓN A LA COMPUTACIÓN CIENTÍFICA</v>
          </cell>
          <cell r="F347" t="str">
            <v>001</v>
          </cell>
          <cell r="G347">
            <v>6</v>
          </cell>
          <cell r="H347">
            <v>1</v>
          </cell>
          <cell r="I347">
            <v>5</v>
          </cell>
          <cell r="J347">
            <v>5</v>
          </cell>
          <cell r="K347">
            <v>4.5</v>
          </cell>
          <cell r="L347">
            <v>5</v>
          </cell>
        </row>
        <row r="348">
          <cell r="C348" t="str">
            <v>ALEX MARCELO TAPIA CASANOVA</v>
          </cell>
          <cell r="D348" t="str">
            <v>FACULTAD DE INGENIERÍAS</v>
          </cell>
          <cell r="E348" t="str">
            <v>MECÁNICA CUÁNTICA II</v>
          </cell>
          <cell r="F348" t="str">
            <v>001</v>
          </cell>
          <cell r="G348">
            <v>3</v>
          </cell>
          <cell r="H348">
            <v>2</v>
          </cell>
          <cell r="I348">
            <v>5</v>
          </cell>
          <cell r="J348">
            <v>5</v>
          </cell>
          <cell r="K348">
            <v>5</v>
          </cell>
          <cell r="L348">
            <v>5</v>
          </cell>
        </row>
        <row r="349">
          <cell r="C349" t="str">
            <v>ALEX MARCELO TAPIA CASANOVA</v>
          </cell>
          <cell r="D349" t="str">
            <v>FACULTAD DE INGENIERÍAS</v>
          </cell>
          <cell r="E349" t="str">
            <v>ÉNFASIS II: PROFUNDIZACIÓN EN COMPUTACIÓN CIENTÍFICA II</v>
          </cell>
          <cell r="F349" t="str">
            <v>001</v>
          </cell>
          <cell r="G349">
            <v>5</v>
          </cell>
          <cell r="H349">
            <v>2</v>
          </cell>
          <cell r="I349">
            <v>5</v>
          </cell>
          <cell r="J349">
            <v>5</v>
          </cell>
          <cell r="K349">
            <v>4.875</v>
          </cell>
          <cell r="L349">
            <v>5</v>
          </cell>
        </row>
        <row r="350">
          <cell r="C350" t="str">
            <v>CARLOS ALBERTO ÁLVAREZ HENAO</v>
          </cell>
          <cell r="D350" t="str">
            <v>FACULTAD DE INGENIERÍAS</v>
          </cell>
          <cell r="E350" t="str">
            <v>INTRODUCCIÓN A LA TEORÍA DE LA COMPUTACIÓN</v>
          </cell>
          <cell r="F350" t="str">
            <v>001</v>
          </cell>
          <cell r="G350">
            <v>4</v>
          </cell>
          <cell r="H350">
            <v>1</v>
          </cell>
          <cell r="I350">
            <v>4.666666666666667</v>
          </cell>
          <cell r="J350">
            <v>4.2857142857142856</v>
          </cell>
          <cell r="K350">
            <v>4.25</v>
          </cell>
          <cell r="L350">
            <v>4.333333333333333</v>
          </cell>
        </row>
        <row r="351">
          <cell r="C351" t="str">
            <v>CARLOS ALBERTO ÁLVAREZ HENAO</v>
          </cell>
          <cell r="D351" t="str">
            <v>FACULTAD DE INGENIERÍAS</v>
          </cell>
          <cell r="E351" t="str">
            <v>COMPUTACIÓN DE ALTO DESEMPEÑO</v>
          </cell>
          <cell r="F351" t="str">
            <v>001</v>
          </cell>
          <cell r="G351">
            <v>6</v>
          </cell>
          <cell r="H351">
            <v>1</v>
          </cell>
          <cell r="I351">
            <v>5</v>
          </cell>
          <cell r="J351">
            <v>5</v>
          </cell>
          <cell r="K351">
            <v>4.25</v>
          </cell>
          <cell r="L351">
            <v>4.666666666666667</v>
          </cell>
        </row>
        <row r="352">
          <cell r="C352" t="str">
            <v>CARLOS ANDRÉS JIMÉNEZ OROZCO</v>
          </cell>
          <cell r="D352" t="str">
            <v>FACULTAD DE INGENIERÍAS</v>
          </cell>
          <cell r="E352" t="str">
            <v>TÓPICOS EN COMPUTACIÓN CIENTIFICA I</v>
          </cell>
          <cell r="F352" t="str">
            <v>001</v>
          </cell>
          <cell r="G352">
            <v>1</v>
          </cell>
          <cell r="H352">
            <v>1</v>
          </cell>
          <cell r="I352">
            <v>5</v>
          </cell>
          <cell r="J352">
            <v>5</v>
          </cell>
          <cell r="K352">
            <v>5</v>
          </cell>
          <cell r="L352">
            <v>5</v>
          </cell>
        </row>
        <row r="353">
          <cell r="C353" t="str">
            <v>CARLOS ANDRÉS JIMÉNEZ OROZCO</v>
          </cell>
          <cell r="D353" t="str">
            <v>FACULTAD DE INGENIERÍAS</v>
          </cell>
          <cell r="E353" t="str">
            <v>QUÍMICA I</v>
          </cell>
          <cell r="F353" t="str">
            <v>001</v>
          </cell>
          <cell r="G353">
            <v>8</v>
          </cell>
          <cell r="H353">
            <v>4</v>
          </cell>
          <cell r="I353">
            <v>4.75</v>
          </cell>
          <cell r="J353">
            <v>4.6428571428571432</v>
          </cell>
          <cell r="K353">
            <v>4.75</v>
          </cell>
          <cell r="L353">
            <v>4.833333333333333</v>
          </cell>
        </row>
        <row r="354">
          <cell r="C354" t="str">
            <v>HERNÁN ALEJANDRO GÓMEZ URREA</v>
          </cell>
          <cell r="D354" t="str">
            <v>FACULTAD DE CIENCIAS BÁSICAS</v>
          </cell>
          <cell r="E354" t="str">
            <v>FÍSICA II</v>
          </cell>
          <cell r="F354" t="str">
            <v>006</v>
          </cell>
          <cell r="G354">
            <v>21</v>
          </cell>
          <cell r="H354">
            <v>11</v>
          </cell>
          <cell r="I354">
            <v>4.5151515151515147</v>
          </cell>
          <cell r="J354">
            <v>4.4285714285714288</v>
          </cell>
          <cell r="K354">
            <v>4.3181818181818183</v>
          </cell>
          <cell r="L354">
            <v>4.4848484848484853</v>
          </cell>
        </row>
        <row r="355">
          <cell r="C355" t="str">
            <v>SIRWUENDY CARDONA POSADA</v>
          </cell>
          <cell r="D355" t="str">
            <v>FACULTAD DE CIENCIAS BÁSICAS</v>
          </cell>
          <cell r="E355" t="str">
            <v>PRÁCTICA DE FÍSICA I</v>
          </cell>
          <cell r="F355" t="str">
            <v>010</v>
          </cell>
          <cell r="G355">
            <v>13</v>
          </cell>
          <cell r="H355">
            <v>5</v>
          </cell>
          <cell r="I355">
            <v>4.5333333333333332</v>
          </cell>
          <cell r="J355">
            <v>4.6285714285714281</v>
          </cell>
          <cell r="K355">
            <v>4.5</v>
          </cell>
          <cell r="L355">
            <v>4.4666666666666659</v>
          </cell>
        </row>
        <row r="356">
          <cell r="C356" t="str">
            <v>SIRWUENDY CARDONA POSADA</v>
          </cell>
          <cell r="D356" t="str">
            <v>FACULTAD DE CIENCIAS BÁSICAS</v>
          </cell>
          <cell r="E356" t="str">
            <v>ANÁLISIS GEOMÉTRICO</v>
          </cell>
          <cell r="F356" t="str">
            <v>008</v>
          </cell>
          <cell r="G356">
            <v>23</v>
          </cell>
          <cell r="H356">
            <v>4</v>
          </cell>
          <cell r="I356">
            <v>4.25</v>
          </cell>
          <cell r="J356">
            <v>4.1071428571428568</v>
          </cell>
          <cell r="K356">
            <v>4.125</v>
          </cell>
          <cell r="L356">
            <v>4.333333333333333</v>
          </cell>
        </row>
        <row r="357">
          <cell r="C357" t="str">
            <v>LEANDRO URIBE CLAVIJO</v>
          </cell>
          <cell r="D357" t="str">
            <v>FACULTAD DE CIENCIAS BÁSICAS</v>
          </cell>
          <cell r="E357" t="str">
            <v>CÁLCULO DIFERENCIAL</v>
          </cell>
          <cell r="F357" t="str">
            <v>001</v>
          </cell>
          <cell r="G357">
            <v>15</v>
          </cell>
          <cell r="H357">
            <v>8</v>
          </cell>
          <cell r="I357">
            <v>4.875</v>
          </cell>
          <cell r="J357">
            <v>4.8392857142857144</v>
          </cell>
          <cell r="K357">
            <v>4.84375</v>
          </cell>
          <cell r="L357">
            <v>4.875</v>
          </cell>
        </row>
        <row r="358">
          <cell r="C358" t="str">
            <v>LEANDRO URIBE CLAVIJO</v>
          </cell>
          <cell r="D358" t="str">
            <v>FACULTAD DE CIENCIAS BÁSICAS</v>
          </cell>
          <cell r="E358" t="str">
            <v>CÁLCULO DIFERENCIAL</v>
          </cell>
          <cell r="F358" t="str">
            <v>002</v>
          </cell>
          <cell r="G358">
            <v>23</v>
          </cell>
          <cell r="H358">
            <v>8</v>
          </cell>
          <cell r="I358">
            <v>4.75</v>
          </cell>
          <cell r="J358">
            <v>4.5178571428571432</v>
          </cell>
          <cell r="K358">
            <v>4.59375</v>
          </cell>
          <cell r="L358">
            <v>4.791666666666667</v>
          </cell>
        </row>
        <row r="359">
          <cell r="C359" t="str">
            <v>LEIDY YOANA MEDINA TORRES</v>
          </cell>
          <cell r="D359" t="str">
            <v>FACULTAD DE CIENCIAS BÁSICAS</v>
          </cell>
          <cell r="E359" t="str">
            <v xml:space="preserve">ECUACIONES DIFERENCIALES                                    </v>
          </cell>
          <cell r="F359" t="str">
            <v>005</v>
          </cell>
          <cell r="G359">
            <v>11</v>
          </cell>
          <cell r="H359">
            <v>3</v>
          </cell>
          <cell r="I359">
            <v>5</v>
          </cell>
          <cell r="J359">
            <v>4.5714285714285712</v>
          </cell>
          <cell r="K359">
            <v>4.5833333333333339</v>
          </cell>
          <cell r="L359">
            <v>3.8888888888888888</v>
          </cell>
        </row>
        <row r="360">
          <cell r="C360" t="str">
            <v>MARIANELA LUZARDO BRICEÑO</v>
          </cell>
          <cell r="D360" t="str">
            <v>FACULTAD DE CIENCIAS BÁSICAS</v>
          </cell>
          <cell r="E360" t="str">
            <v>ESTADÍSTICA</v>
          </cell>
          <cell r="F360" t="str">
            <v>006</v>
          </cell>
          <cell r="G360">
            <v>21</v>
          </cell>
          <cell r="H360">
            <v>15</v>
          </cell>
          <cell r="I360">
            <v>4.5333333333333332</v>
          </cell>
          <cell r="J360">
            <v>4.2571428571428571</v>
          </cell>
          <cell r="K360">
            <v>4.3666666666666671</v>
          </cell>
          <cell r="L360">
            <v>4.5777777777777775</v>
          </cell>
        </row>
        <row r="361">
          <cell r="C361" t="str">
            <v>GLORIA EUGENIA CAMPILLO FIGUEROA</v>
          </cell>
          <cell r="D361" t="str">
            <v>FACULTAD DE CIENCIAS BÁSICAS</v>
          </cell>
          <cell r="E361" t="str">
            <v>FÍSICA I</v>
          </cell>
          <cell r="F361" t="str">
            <v>003</v>
          </cell>
          <cell r="G361">
            <v>18</v>
          </cell>
          <cell r="H361">
            <v>6</v>
          </cell>
          <cell r="I361">
            <v>4.1111111111111116</v>
          </cell>
          <cell r="J361">
            <v>3.8333333333333335</v>
          </cell>
          <cell r="K361">
            <v>3.9583333333333335</v>
          </cell>
          <cell r="L361">
            <v>4.1111111111111107</v>
          </cell>
        </row>
        <row r="362">
          <cell r="C362" t="str">
            <v>GLORIA EUGENIA CAMPILLO FIGUEROA</v>
          </cell>
          <cell r="D362" t="str">
            <v>FACULTAD DE CIENCIAS BÁSICAS</v>
          </cell>
          <cell r="E362" t="str">
            <v>PRÁCTICA DE FÍSICA I</v>
          </cell>
          <cell r="F362" t="str">
            <v>003</v>
          </cell>
          <cell r="G362">
            <v>17</v>
          </cell>
          <cell r="H362">
            <v>10</v>
          </cell>
          <cell r="I362">
            <v>4.5666666666666664</v>
          </cell>
          <cell r="J362">
            <v>4.5285714285714294</v>
          </cell>
          <cell r="K362">
            <v>4.5250000000000004</v>
          </cell>
          <cell r="L362">
            <v>4.666666666666667</v>
          </cell>
        </row>
        <row r="363">
          <cell r="C363" t="str">
            <v>GLORIA EUGENIA CAMPILLO FIGUEROA</v>
          </cell>
          <cell r="D363" t="str">
            <v>FACULTAD DE CIENCIAS BÁSICAS</v>
          </cell>
          <cell r="E363" t="str">
            <v>PRÁCTICA DE FÍSICA I</v>
          </cell>
          <cell r="F363" t="str">
            <v>004</v>
          </cell>
          <cell r="G363">
            <v>16</v>
          </cell>
          <cell r="H363">
            <v>4</v>
          </cell>
          <cell r="I363">
            <v>4.916666666666667</v>
          </cell>
          <cell r="J363">
            <v>4.7142857142857144</v>
          </cell>
          <cell r="K363">
            <v>4.875</v>
          </cell>
          <cell r="L363">
            <v>4.833333333333333</v>
          </cell>
        </row>
        <row r="364">
          <cell r="C364" t="str">
            <v>GLORIA EUGENIA CAMPILLO FIGUEROA</v>
          </cell>
          <cell r="D364" t="str">
            <v>FACULTAD DE CIENCIAS BÁSICAS</v>
          </cell>
          <cell r="E364" t="str">
            <v>PRÁCTICA DE FÍSICA I</v>
          </cell>
          <cell r="F364" t="str">
            <v>009</v>
          </cell>
          <cell r="G364">
            <v>14</v>
          </cell>
          <cell r="H364">
            <v>7</v>
          </cell>
          <cell r="I364">
            <v>4.8571428571428577</v>
          </cell>
          <cell r="J364">
            <v>4.6326530612244889</v>
          </cell>
          <cell r="K364">
            <v>4.4642857142857144</v>
          </cell>
          <cell r="L364">
            <v>4.7142857142857144</v>
          </cell>
        </row>
        <row r="365">
          <cell r="C365" t="str">
            <v>GLORIA EUGENIA CAMPILLO FIGUEROA</v>
          </cell>
          <cell r="D365" t="str">
            <v>FACULTAD DE CIENCIAS BÁSICAS</v>
          </cell>
          <cell r="E365" t="str">
            <v>PRÁCTICA DE FÍSICA II</v>
          </cell>
          <cell r="F365" t="str">
            <v>005</v>
          </cell>
          <cell r="G365">
            <v>17</v>
          </cell>
          <cell r="H365">
            <v>10</v>
          </cell>
          <cell r="I365">
            <v>4.7333333333333334</v>
          </cell>
          <cell r="J365">
            <v>4.6000000000000005</v>
          </cell>
          <cell r="K365">
            <v>4.5749999999999993</v>
          </cell>
          <cell r="L365">
            <v>4.7666666666666666</v>
          </cell>
        </row>
        <row r="366">
          <cell r="C366" t="str">
            <v>GLORIA ESTHER HINCAPIÉ VARGAS</v>
          </cell>
          <cell r="D366" t="str">
            <v>FACULTAD DE CIENCIAS BÁSICAS</v>
          </cell>
          <cell r="E366" t="str">
            <v>ESTADÍSTICA Y PROBABILIDADES</v>
          </cell>
          <cell r="F366" t="str">
            <v>003</v>
          </cell>
          <cell r="G366">
            <v>15</v>
          </cell>
          <cell r="H366">
            <v>9</v>
          </cell>
          <cell r="I366">
            <v>4.8148148148148158</v>
          </cell>
          <cell r="J366">
            <v>4.6507936507936511</v>
          </cell>
          <cell r="K366">
            <v>4.7777777777777786</v>
          </cell>
          <cell r="L366">
            <v>5</v>
          </cell>
        </row>
        <row r="367">
          <cell r="C367" t="str">
            <v>GLORIA ESTHER HINCAPIÉ VARGAS</v>
          </cell>
          <cell r="D367" t="str">
            <v>FACULTAD DE CIENCIAS BÁSICAS</v>
          </cell>
          <cell r="E367" t="str">
            <v>ESTADÍSTICA</v>
          </cell>
          <cell r="F367" t="str">
            <v>002</v>
          </cell>
          <cell r="G367">
            <v>32</v>
          </cell>
          <cell r="H367">
            <v>18</v>
          </cell>
          <cell r="I367">
            <v>4.2962962962962967</v>
          </cell>
          <cell r="J367">
            <v>4.3015873015873014</v>
          </cell>
          <cell r="K367">
            <v>4.2222222222222223</v>
          </cell>
          <cell r="L367">
            <v>4.4259259259259265</v>
          </cell>
        </row>
        <row r="368">
          <cell r="C368" t="str">
            <v>GLORIA ESTHER HINCAPIÉ VARGAS</v>
          </cell>
          <cell r="D368" t="str">
            <v>FACULTAD DE CIENCIAS BÁSICAS</v>
          </cell>
          <cell r="E368" t="str">
            <v>ESTADÍSTICA</v>
          </cell>
          <cell r="F368" t="str">
            <v>003</v>
          </cell>
          <cell r="G368">
            <v>29</v>
          </cell>
          <cell r="H368">
            <v>11</v>
          </cell>
          <cell r="I368">
            <v>4.3030303030303036</v>
          </cell>
          <cell r="J368">
            <v>4.1948051948051948</v>
          </cell>
          <cell r="K368">
            <v>4.1363636363636367</v>
          </cell>
          <cell r="L368">
            <v>4.4242424242424248</v>
          </cell>
        </row>
        <row r="369">
          <cell r="C369" t="str">
            <v>JOSÉ ALFONSO ESCOBAR URREGO</v>
          </cell>
          <cell r="D369" t="str">
            <v>FACULTAD DE CIENCIAS BÁSICAS</v>
          </cell>
          <cell r="E369" t="str">
            <v>MATEMÁTICAS II</v>
          </cell>
          <cell r="F369" t="str">
            <v>005</v>
          </cell>
          <cell r="G369">
            <v>10</v>
          </cell>
          <cell r="H369">
            <v>7</v>
          </cell>
          <cell r="I369">
            <v>3.7619047619047614</v>
          </cell>
          <cell r="J369">
            <v>3.5306122448979593</v>
          </cell>
          <cell r="K369">
            <v>3.3928571428571428</v>
          </cell>
          <cell r="L369">
            <v>4.0952380952380958</v>
          </cell>
        </row>
        <row r="370">
          <cell r="C370" t="str">
            <v>JOSÉ ALFONSO ESCOBAR URREGO</v>
          </cell>
          <cell r="D370" t="str">
            <v>FACULTAD DE CIENCIAS BÁSICAS</v>
          </cell>
          <cell r="E370" t="str">
            <v>MATEMÁTICAS II</v>
          </cell>
          <cell r="F370" t="str">
            <v>006</v>
          </cell>
          <cell r="G370">
            <v>28</v>
          </cell>
          <cell r="H370">
            <v>12</v>
          </cell>
          <cell r="I370">
            <v>4.4722222222222223</v>
          </cell>
          <cell r="J370">
            <v>4.2976190476190474</v>
          </cell>
          <cell r="K370">
            <v>4.0624999999999991</v>
          </cell>
          <cell r="L370">
            <v>4.5555555555555562</v>
          </cell>
        </row>
        <row r="371">
          <cell r="C371" t="str">
            <v>FABIO DE JESÚS VELÁSQUEZ ARREDONDO</v>
          </cell>
          <cell r="D371" t="str">
            <v>FACULTAD DE CIENCIAS BÁSICAS</v>
          </cell>
          <cell r="E371" t="str">
            <v>MATEMÁTICAS I</v>
          </cell>
          <cell r="F371" t="str">
            <v>002</v>
          </cell>
          <cell r="G371">
            <v>22</v>
          </cell>
          <cell r="H371">
            <v>7</v>
          </cell>
          <cell r="I371">
            <v>5</v>
          </cell>
          <cell r="J371">
            <v>4.8979591836734704</v>
          </cell>
          <cell r="K371">
            <v>4.9285714285714288</v>
          </cell>
          <cell r="L371">
            <v>4.9523809523809526</v>
          </cell>
        </row>
        <row r="372">
          <cell r="C372" t="str">
            <v>FABIO DE JESÚS VELÁSQUEZ ARREDONDO</v>
          </cell>
          <cell r="D372" t="str">
            <v>FACULTAD DE CIENCIAS BÁSICAS</v>
          </cell>
          <cell r="E372" t="str">
            <v>MATEMÁTICAS II</v>
          </cell>
          <cell r="F372" t="str">
            <v>001</v>
          </cell>
          <cell r="G372">
            <v>23</v>
          </cell>
          <cell r="H372">
            <v>9</v>
          </cell>
          <cell r="I372">
            <v>4.7037037037037033</v>
          </cell>
          <cell r="J372">
            <v>4.5238095238095246</v>
          </cell>
          <cell r="K372">
            <v>4.5833333333333339</v>
          </cell>
          <cell r="L372">
            <v>4.8148148148148149</v>
          </cell>
        </row>
        <row r="373">
          <cell r="C373" t="str">
            <v>CARMEN CECILIA SÁNCHEZ ZULETA</v>
          </cell>
          <cell r="D373" t="str">
            <v>FACULTAD DE CIENCIAS BÁSICAS</v>
          </cell>
          <cell r="E373" t="str">
            <v>ÁLGEBRA LINEAL</v>
          </cell>
          <cell r="F373" t="str">
            <v>001</v>
          </cell>
          <cell r="G373">
            <v>28</v>
          </cell>
          <cell r="H373">
            <v>14</v>
          </cell>
          <cell r="I373">
            <v>4.5476190476190474</v>
          </cell>
          <cell r="J373">
            <v>4.1428571428571432</v>
          </cell>
          <cell r="K373">
            <v>4.2321428571428577</v>
          </cell>
          <cell r="L373">
            <v>4.0476190476190483</v>
          </cell>
        </row>
        <row r="374">
          <cell r="C374" t="str">
            <v>CARMEN CECILIA SÁNCHEZ ZULETA</v>
          </cell>
          <cell r="D374" t="str">
            <v>FACULTAD DE CIENCIAS BÁSICAS</v>
          </cell>
          <cell r="E374" t="str">
            <v>ÁLGEBRA LINEAL</v>
          </cell>
          <cell r="F374" t="str">
            <v>002</v>
          </cell>
          <cell r="G374">
            <v>20</v>
          </cell>
          <cell r="H374">
            <v>6</v>
          </cell>
          <cell r="I374">
            <v>4.5555555555555562</v>
          </cell>
          <cell r="J374">
            <v>4.4047619047619051</v>
          </cell>
          <cell r="K374">
            <v>4.125</v>
          </cell>
          <cell r="L374">
            <v>4</v>
          </cell>
        </row>
        <row r="375">
          <cell r="C375" t="str">
            <v>CARMEN CECILIA SÁNCHEZ ZULETA</v>
          </cell>
          <cell r="D375" t="str">
            <v>FACULTAD DE CIENCIAS BÁSICAS</v>
          </cell>
          <cell r="E375" t="str">
            <v>ESTADÍSTICA Y PROBABILIDADES</v>
          </cell>
          <cell r="F375" t="str">
            <v>001</v>
          </cell>
          <cell r="G375">
            <v>7</v>
          </cell>
          <cell r="H375">
            <v>4</v>
          </cell>
          <cell r="I375">
            <v>4.666666666666667</v>
          </cell>
          <cell r="J375">
            <v>4.25</v>
          </cell>
          <cell r="K375">
            <v>4.1875</v>
          </cell>
          <cell r="L375">
            <v>4.25</v>
          </cell>
        </row>
        <row r="376">
          <cell r="C376" t="str">
            <v>CARMEN CECILIA SÁNCHEZ ZULETA</v>
          </cell>
          <cell r="D376" t="str">
            <v>FACULTAD DE CIENCIAS BÁSICAS</v>
          </cell>
          <cell r="E376" t="str">
            <v>ESTADÍSTICA Y PROBABILIDADES</v>
          </cell>
          <cell r="F376" t="str">
            <v>004</v>
          </cell>
          <cell r="G376">
            <v>21</v>
          </cell>
          <cell r="H376">
            <v>10</v>
          </cell>
          <cell r="I376">
            <v>4.4666666666666668</v>
          </cell>
          <cell r="J376">
            <v>4.5285714285714285</v>
          </cell>
          <cell r="K376">
            <v>4.5</v>
          </cell>
          <cell r="L376">
            <v>4.1000000000000005</v>
          </cell>
        </row>
        <row r="377">
          <cell r="C377" t="str">
            <v>CATALINA TOBÓN ZULUAGA</v>
          </cell>
          <cell r="D377" t="str">
            <v>FACULTAD DE CIENCIAS BÁSICAS</v>
          </cell>
          <cell r="E377" t="str">
            <v>MÉTODOS NUMÉRICOS</v>
          </cell>
          <cell r="F377" t="str">
            <v>001</v>
          </cell>
          <cell r="G377">
            <v>21</v>
          </cell>
          <cell r="H377">
            <v>4</v>
          </cell>
          <cell r="I377">
            <v>5</v>
          </cell>
          <cell r="J377">
            <v>4.7857142857142856</v>
          </cell>
          <cell r="K377">
            <v>4.5</v>
          </cell>
          <cell r="L377">
            <v>4.416666666666667</v>
          </cell>
        </row>
        <row r="378">
          <cell r="C378" t="str">
            <v>CATALINA TOBÓN ZULUAGA</v>
          </cell>
          <cell r="D378" t="str">
            <v>FACULTAD DE CIENCIAS BÁSICAS</v>
          </cell>
          <cell r="E378" t="str">
            <v>MÉTODOS NUMÉRICOS</v>
          </cell>
          <cell r="F378" t="str">
            <v>003</v>
          </cell>
          <cell r="G378">
            <v>12</v>
          </cell>
          <cell r="H378">
            <v>5</v>
          </cell>
          <cell r="I378">
            <v>4.8666666666666671</v>
          </cell>
          <cell r="J378">
            <v>4.8857142857142861</v>
          </cell>
          <cell r="K378">
            <v>4.95</v>
          </cell>
          <cell r="L378">
            <v>4.8</v>
          </cell>
        </row>
        <row r="379">
          <cell r="C379" t="str">
            <v>HILDA CONSUELO VANEGAS VALENCIA</v>
          </cell>
          <cell r="D379" t="str">
            <v>FACULTAD DE CIENCIAS BÁSICAS</v>
          </cell>
          <cell r="E379" t="str">
            <v>MATEMÁTICAS II</v>
          </cell>
          <cell r="F379" t="str">
            <v>004</v>
          </cell>
          <cell r="G379">
            <v>17</v>
          </cell>
          <cell r="H379">
            <v>5</v>
          </cell>
          <cell r="I379">
            <v>4.6666666666666661</v>
          </cell>
          <cell r="J379">
            <v>4.0285714285714294</v>
          </cell>
          <cell r="K379">
            <v>4.2</v>
          </cell>
          <cell r="L379">
            <v>4.333333333333333</v>
          </cell>
        </row>
        <row r="380">
          <cell r="C380" t="str">
            <v>HILDA CONSUELO VANEGAS VALENCIA</v>
          </cell>
          <cell r="D380" t="str">
            <v>FACULTAD DE CIENCIAS BÁSICAS</v>
          </cell>
          <cell r="E380" t="str">
            <v>MATEMÁTICAS II</v>
          </cell>
          <cell r="F380" t="str">
            <v>002</v>
          </cell>
          <cell r="G380">
            <v>26</v>
          </cell>
          <cell r="H380">
            <v>16</v>
          </cell>
          <cell r="I380">
            <v>4.125</v>
          </cell>
          <cell r="J380">
            <v>3.7142857142857144</v>
          </cell>
          <cell r="K380">
            <v>3.796875</v>
          </cell>
          <cell r="L380">
            <v>3.9375</v>
          </cell>
        </row>
        <row r="381">
          <cell r="C381" t="str">
            <v>TRINIDAD ASTRID PALACIO HOYOS</v>
          </cell>
          <cell r="D381" t="str">
            <v>FACULTAD DE CIENCIAS BÁSICAS</v>
          </cell>
          <cell r="E381" t="str">
            <v>MATEMÁTICAS I</v>
          </cell>
          <cell r="F381" t="str">
            <v>003</v>
          </cell>
          <cell r="G381">
            <v>19</v>
          </cell>
          <cell r="H381">
            <v>6</v>
          </cell>
          <cell r="I381">
            <v>4.5</v>
          </cell>
          <cell r="J381">
            <v>4.1904761904761907</v>
          </cell>
          <cell r="K381">
            <v>4</v>
          </cell>
          <cell r="L381">
            <v>4.1111111111111116</v>
          </cell>
        </row>
        <row r="382">
          <cell r="C382" t="str">
            <v>TRINIDAD ASTRID PALACIO HOYOS</v>
          </cell>
          <cell r="D382" t="str">
            <v>FACULTAD DE CIENCIAS BÁSICAS</v>
          </cell>
          <cell r="E382" t="str">
            <v>MATEMÁTICAS I</v>
          </cell>
          <cell r="F382" t="str">
            <v>004</v>
          </cell>
          <cell r="G382">
            <v>10</v>
          </cell>
          <cell r="H382">
            <v>7</v>
          </cell>
          <cell r="I382">
            <v>3.4285714285714284</v>
          </cell>
          <cell r="J382">
            <v>3.1224489795918364</v>
          </cell>
          <cell r="K382">
            <v>2.9642857142857144</v>
          </cell>
          <cell r="L382">
            <v>3.1904761904761902</v>
          </cell>
        </row>
        <row r="383">
          <cell r="C383" t="str">
            <v>ZULMA ALEXANDRA SÁNCHEZ AGUDELO</v>
          </cell>
          <cell r="D383" t="str">
            <v>FACULTAD DE CIENCIAS BÁSICAS</v>
          </cell>
          <cell r="E383" t="str">
            <v>ÁLGEBRA Y TRIGONOMETRÍA</v>
          </cell>
          <cell r="F383" t="str">
            <v>007</v>
          </cell>
          <cell r="G383">
            <v>28</v>
          </cell>
          <cell r="H383">
            <v>6</v>
          </cell>
          <cell r="I383">
            <v>4.666666666666667</v>
          </cell>
          <cell r="J383">
            <v>4.6428571428571432</v>
          </cell>
          <cell r="K383">
            <v>4.708333333333333</v>
          </cell>
          <cell r="L383">
            <v>4.6111111111111116</v>
          </cell>
        </row>
        <row r="384">
          <cell r="C384" t="str">
            <v>ZULMA ALEXANDRA SÁNCHEZ AGUDELO</v>
          </cell>
          <cell r="D384" t="str">
            <v>FACULTAD DE CIENCIAS BÁSICAS</v>
          </cell>
          <cell r="E384" t="str">
            <v>ANÁLISIS GEOMÉTRICO</v>
          </cell>
          <cell r="F384" t="str">
            <v>005</v>
          </cell>
          <cell r="G384">
            <v>30</v>
          </cell>
          <cell r="H384">
            <v>5</v>
          </cell>
          <cell r="I384">
            <v>5</v>
          </cell>
          <cell r="J384">
            <v>4.9714285714285706</v>
          </cell>
          <cell r="K384">
            <v>5</v>
          </cell>
          <cell r="L384">
            <v>5</v>
          </cell>
        </row>
        <row r="385">
          <cell r="C385" t="str">
            <v>NANCY YAMILE ACELAS SOTO</v>
          </cell>
          <cell r="D385" t="str">
            <v>FACULTAD DE CIENCIAS BÁSICAS</v>
          </cell>
          <cell r="E385" t="str">
            <v>QUÍMICA GENERAL</v>
          </cell>
          <cell r="F385" t="str">
            <v>002</v>
          </cell>
          <cell r="G385">
            <v>19</v>
          </cell>
          <cell r="H385">
            <v>1</v>
          </cell>
          <cell r="I385">
            <v>5</v>
          </cell>
          <cell r="J385">
            <v>5</v>
          </cell>
          <cell r="K385">
            <v>5</v>
          </cell>
          <cell r="L385">
            <v>5</v>
          </cell>
        </row>
        <row r="386">
          <cell r="C386" t="str">
            <v>NANCY YAMILE ACELAS SOTO</v>
          </cell>
          <cell r="D386" t="str">
            <v>FACULTAD DE CIENCIAS BÁSICAS</v>
          </cell>
          <cell r="E386" t="str">
            <v>QUÍMICA GENERAL</v>
          </cell>
          <cell r="F386" t="str">
            <v>004</v>
          </cell>
          <cell r="G386">
            <v>17</v>
          </cell>
          <cell r="H386">
            <v>3</v>
          </cell>
          <cell r="I386">
            <v>4.7777777777777777</v>
          </cell>
          <cell r="J386">
            <v>4.666666666666667</v>
          </cell>
          <cell r="K386">
            <v>4.5</v>
          </cell>
          <cell r="L386">
            <v>4.8888888888888893</v>
          </cell>
        </row>
        <row r="387">
          <cell r="C387" t="str">
            <v>DEISY YULIETH HERNÁNDEZ BEDOYA</v>
          </cell>
          <cell r="D387" t="str">
            <v>FACULTAD DE CIENCIAS BÁSICAS</v>
          </cell>
          <cell r="E387" t="str">
            <v>ÁLGEBRA Y TRIGONOMETRÍA</v>
          </cell>
          <cell r="F387" t="str">
            <v>005</v>
          </cell>
          <cell r="G387">
            <v>24</v>
          </cell>
          <cell r="H387">
            <v>9</v>
          </cell>
          <cell r="I387">
            <v>4.8148148148148158</v>
          </cell>
          <cell r="J387">
            <v>4.6190476190476195</v>
          </cell>
          <cell r="K387">
            <v>4.6944444444444446</v>
          </cell>
          <cell r="L387">
            <v>4.8888888888888893</v>
          </cell>
        </row>
        <row r="388">
          <cell r="C388" t="str">
            <v>DEISY YULIETH HERNÁNDEZ BEDOYA</v>
          </cell>
          <cell r="D388" t="str">
            <v>FACULTAD DE CIENCIAS BÁSICAS</v>
          </cell>
          <cell r="E388" t="str">
            <v>CÁLCULO DIFERENCIAL</v>
          </cell>
          <cell r="F388" t="str">
            <v>010</v>
          </cell>
          <cell r="G388">
            <v>24</v>
          </cell>
          <cell r="H388">
            <v>9</v>
          </cell>
          <cell r="I388">
            <v>4.5925925925925926</v>
          </cell>
          <cell r="J388">
            <v>4.1269841269841274</v>
          </cell>
          <cell r="K388">
            <v>3.833333333333333</v>
          </cell>
          <cell r="L388">
            <v>4.3703703703703702</v>
          </cell>
        </row>
        <row r="389">
          <cell r="C389" t="str">
            <v>DEISY YULIETH HERNÁNDEZ BEDOYA</v>
          </cell>
          <cell r="D389" t="str">
            <v>FACULTAD DE CIENCIAS BÁSICAS</v>
          </cell>
          <cell r="E389" t="str">
            <v>MATEMÁTICAS II</v>
          </cell>
          <cell r="F389" t="str">
            <v>002</v>
          </cell>
          <cell r="G389">
            <v>10</v>
          </cell>
          <cell r="H389">
            <v>5</v>
          </cell>
          <cell r="I389">
            <v>4.0666666666666664</v>
          </cell>
          <cell r="J389">
            <v>3.8857142857142857</v>
          </cell>
          <cell r="K389">
            <v>3.9</v>
          </cell>
          <cell r="L389">
            <v>4.666666666666667</v>
          </cell>
        </row>
        <row r="390">
          <cell r="C390" t="str">
            <v>MARÍA ANGÉLICA FORGIONNY FLÓREZ</v>
          </cell>
          <cell r="D390" t="str">
            <v>FACULTAD DE CIENCIAS BÁSICAS</v>
          </cell>
          <cell r="E390" t="str">
            <v>PRÁCTICA DE QUÍMICA GENERAL</v>
          </cell>
          <cell r="F390" t="str">
            <v>002</v>
          </cell>
          <cell r="G390">
            <v>14</v>
          </cell>
          <cell r="H390">
            <v>2</v>
          </cell>
          <cell r="I390">
            <v>4.833333333333333</v>
          </cell>
          <cell r="J390">
            <v>4.8571428571428568</v>
          </cell>
          <cell r="K390">
            <v>5</v>
          </cell>
          <cell r="L390">
            <v>4.833333333333333</v>
          </cell>
        </row>
        <row r="391">
          <cell r="C391" t="str">
            <v>MARÍA ANGÉLICA FORGIONNY FLÓREZ</v>
          </cell>
          <cell r="D391" t="str">
            <v>FACULTAD DE CIENCIAS BÁSICAS</v>
          </cell>
          <cell r="E391" t="str">
            <v>PRÁCTICA DE QUÍMICA GENERAL</v>
          </cell>
          <cell r="F391" t="str">
            <v>006</v>
          </cell>
          <cell r="G391">
            <v>10</v>
          </cell>
          <cell r="H391">
            <v>2</v>
          </cell>
          <cell r="I391">
            <v>5</v>
          </cell>
          <cell r="J391">
            <v>5</v>
          </cell>
          <cell r="K391">
            <v>5</v>
          </cell>
          <cell r="L391">
            <v>5</v>
          </cell>
        </row>
        <row r="392">
          <cell r="C392" t="str">
            <v xml:space="preserve">VOLODYMYR AKIMOV </v>
          </cell>
          <cell r="D392" t="str">
            <v>FACULTAD DE CIENCIAS BÁSICAS</v>
          </cell>
          <cell r="E392" t="str">
            <v>FÍSICA I</v>
          </cell>
          <cell r="F392" t="str">
            <v>005</v>
          </cell>
          <cell r="G392">
            <v>26</v>
          </cell>
          <cell r="H392">
            <v>12</v>
          </cell>
          <cell r="I392">
            <v>3.7777777777777781</v>
          </cell>
          <cell r="J392">
            <v>3.5357142857142856</v>
          </cell>
          <cell r="K392">
            <v>3.5625</v>
          </cell>
          <cell r="L392">
            <v>4.083333333333333</v>
          </cell>
        </row>
        <row r="393">
          <cell r="C393" t="str">
            <v xml:space="preserve">VOLODYMYR AKIMOV </v>
          </cell>
          <cell r="D393" t="str">
            <v>FACULTAD DE CIENCIAS BÁSICAS</v>
          </cell>
          <cell r="E393" t="str">
            <v>PRÁCTICA DE FÍSICA I</v>
          </cell>
          <cell r="F393" t="str">
            <v>005</v>
          </cell>
          <cell r="G393">
            <v>16</v>
          </cell>
          <cell r="H393">
            <v>7</v>
          </cell>
          <cell r="I393">
            <v>3.8095238095238098</v>
          </cell>
          <cell r="J393">
            <v>3.7755102040816331</v>
          </cell>
          <cell r="K393">
            <v>3.535714285714286</v>
          </cell>
          <cell r="L393">
            <v>3.7619047619047614</v>
          </cell>
        </row>
        <row r="394">
          <cell r="C394" t="str">
            <v xml:space="preserve">VOLODYMYR AKIMOV </v>
          </cell>
          <cell r="D394" t="str">
            <v>FACULTAD DE CIENCIAS BÁSICAS</v>
          </cell>
          <cell r="E394" t="str">
            <v>PRÁCTICA DE FÍSICA I</v>
          </cell>
          <cell r="F394" t="str">
            <v>008</v>
          </cell>
          <cell r="G394">
            <v>15</v>
          </cell>
          <cell r="H394">
            <v>11</v>
          </cell>
          <cell r="I394">
            <v>4.0606060606060606</v>
          </cell>
          <cell r="J394">
            <v>3.9610389610389611</v>
          </cell>
          <cell r="K394">
            <v>3.954545454545455</v>
          </cell>
          <cell r="L394">
            <v>4.3636363636363633</v>
          </cell>
        </row>
        <row r="395">
          <cell r="C395" t="str">
            <v xml:space="preserve">VOLODYMYR AKIMOV </v>
          </cell>
          <cell r="D395" t="str">
            <v>FACULTAD DE CIENCIAS BÁSICAS</v>
          </cell>
          <cell r="E395" t="str">
            <v>PRÁCTICA DE FÍSICA II</v>
          </cell>
          <cell r="F395" t="str">
            <v>002</v>
          </cell>
          <cell r="G395">
            <v>15</v>
          </cell>
          <cell r="H395">
            <v>9</v>
          </cell>
          <cell r="I395">
            <v>4.2222222222222223</v>
          </cell>
          <cell r="J395">
            <v>3.9841269841269842</v>
          </cell>
          <cell r="K395">
            <v>4.1388888888888884</v>
          </cell>
          <cell r="L395">
            <v>4.2222222222222223</v>
          </cell>
        </row>
        <row r="396">
          <cell r="C396" t="str">
            <v xml:space="preserve">VOLODYMYR AKIMOV </v>
          </cell>
          <cell r="D396" t="str">
            <v>FACULTAD DE CIENCIAS BÁSICAS</v>
          </cell>
          <cell r="E396" t="str">
            <v>PRÁCTICA DE FÍSICA II</v>
          </cell>
          <cell r="F396" t="str">
            <v>003</v>
          </cell>
          <cell r="G396">
            <v>15</v>
          </cell>
          <cell r="H396">
            <v>5</v>
          </cell>
          <cell r="I396">
            <v>4.2666666666666666</v>
          </cell>
          <cell r="J396">
            <v>4.3142857142857141</v>
          </cell>
          <cell r="K396">
            <v>4.25</v>
          </cell>
          <cell r="L396">
            <v>4</v>
          </cell>
        </row>
        <row r="397">
          <cell r="C397" t="str">
            <v xml:space="preserve">VOLODYMYR AKIMOV </v>
          </cell>
          <cell r="D397" t="str">
            <v>FACULTAD DE CIENCIAS BÁSICAS</v>
          </cell>
          <cell r="E397" t="str">
            <v>PRÁCTICA DE FÍSICA II</v>
          </cell>
          <cell r="F397" t="str">
            <v>010</v>
          </cell>
          <cell r="G397">
            <v>6</v>
          </cell>
          <cell r="H397">
            <v>2</v>
          </cell>
          <cell r="I397">
            <v>4.166666666666667</v>
          </cell>
          <cell r="J397">
            <v>4</v>
          </cell>
          <cell r="K397">
            <v>4</v>
          </cell>
          <cell r="L397">
            <v>4.166666666666667</v>
          </cell>
        </row>
        <row r="398">
          <cell r="C398" t="str">
            <v>GILMAR ROLANDO ANAGUANO JIMÉNEZ</v>
          </cell>
          <cell r="D398" t="str">
            <v>FACULTAD DE CIENCIAS BÁSICAS</v>
          </cell>
          <cell r="E398" t="str">
            <v>FÍSICA I</v>
          </cell>
          <cell r="F398" t="str">
            <v>002</v>
          </cell>
          <cell r="G398">
            <v>22</v>
          </cell>
          <cell r="H398">
            <v>15</v>
          </cell>
          <cell r="I398">
            <v>4.7333333333333334</v>
          </cell>
          <cell r="J398">
            <v>4.5142857142857142</v>
          </cell>
          <cell r="K398">
            <v>4.5</v>
          </cell>
          <cell r="L398">
            <v>4.7111111111111112</v>
          </cell>
        </row>
        <row r="399">
          <cell r="C399" t="str">
            <v>GILMAR ROLANDO ANAGUANO JIMÉNEZ</v>
          </cell>
          <cell r="D399" t="str">
            <v>FACULTAD DE CIENCIAS BÁSICAS</v>
          </cell>
          <cell r="E399" t="str">
            <v>FÍSICA I</v>
          </cell>
          <cell r="F399" t="str">
            <v>004</v>
          </cell>
          <cell r="G399">
            <v>13</v>
          </cell>
          <cell r="H399">
            <v>5</v>
          </cell>
          <cell r="I399">
            <v>4.5333333333333332</v>
          </cell>
          <cell r="J399">
            <v>4.7142857142857144</v>
          </cell>
          <cell r="K399">
            <v>4.5</v>
          </cell>
          <cell r="L399">
            <v>4.5999999999999996</v>
          </cell>
        </row>
        <row r="400">
          <cell r="C400" t="str">
            <v>GILMAR ROLANDO ANAGUANO JIMÉNEZ</v>
          </cell>
          <cell r="D400" t="str">
            <v>FACULTAD DE CIENCIAS BÁSICAS</v>
          </cell>
          <cell r="E400" t="str">
            <v>FÍSICA I</v>
          </cell>
          <cell r="F400" t="str">
            <v>006</v>
          </cell>
          <cell r="G400">
            <v>23</v>
          </cell>
          <cell r="H400">
            <v>10</v>
          </cell>
          <cell r="I400">
            <v>4.8</v>
          </cell>
          <cell r="J400">
            <v>4.2714285714285714</v>
          </cell>
          <cell r="K400">
            <v>4.4000000000000004</v>
          </cell>
          <cell r="L400">
            <v>4.3</v>
          </cell>
        </row>
        <row r="401">
          <cell r="C401" t="str">
            <v>GILMAR ROLANDO ANAGUANO JIMÉNEZ</v>
          </cell>
          <cell r="D401" t="str">
            <v>FACULTAD DE CIENCIAS BÁSICAS</v>
          </cell>
          <cell r="E401" t="str">
            <v>FÍSICA I</v>
          </cell>
          <cell r="F401" t="str">
            <v>008</v>
          </cell>
          <cell r="G401">
            <v>12</v>
          </cell>
          <cell r="H401">
            <v>6</v>
          </cell>
          <cell r="I401">
            <v>4.2777777777777777</v>
          </cell>
          <cell r="J401">
            <v>4.2142857142857144</v>
          </cell>
          <cell r="K401">
            <v>4.208333333333333</v>
          </cell>
          <cell r="L401">
            <v>4.2777777777777777</v>
          </cell>
        </row>
        <row r="402">
          <cell r="C402" t="str">
            <v>GILMAR ROLANDO ANAGUANO JIMÉNEZ</v>
          </cell>
          <cell r="D402" t="str">
            <v>FACULTAD DE CIENCIAS BÁSICAS</v>
          </cell>
          <cell r="E402" t="str">
            <v>PRÁCTICA DE FÍSICA I</v>
          </cell>
          <cell r="F402" t="str">
            <v>002</v>
          </cell>
          <cell r="G402">
            <v>13</v>
          </cell>
          <cell r="H402">
            <v>5</v>
          </cell>
          <cell r="I402">
            <v>4.4000000000000004</v>
          </cell>
          <cell r="J402">
            <v>4.6285714285714281</v>
          </cell>
          <cell r="K402">
            <v>4.8</v>
          </cell>
          <cell r="L402">
            <v>4.7333333333333334</v>
          </cell>
        </row>
        <row r="403">
          <cell r="C403" t="str">
            <v>JOSÉ ALBERTO GUERRERO GARCÍA</v>
          </cell>
          <cell r="D403" t="str">
            <v>FACULTAD DE CIENCIAS BÁSICAS</v>
          </cell>
          <cell r="E403" t="str">
            <v>CÁLCULO DE VARIAS VARIABLES</v>
          </cell>
          <cell r="F403" t="str">
            <v>006</v>
          </cell>
          <cell r="G403">
            <v>12</v>
          </cell>
          <cell r="H403">
            <v>4</v>
          </cell>
          <cell r="I403">
            <v>4.333333333333333</v>
          </cell>
          <cell r="J403">
            <v>4.3214285714285712</v>
          </cell>
          <cell r="K403">
            <v>4.125</v>
          </cell>
          <cell r="L403">
            <v>4.333333333333333</v>
          </cell>
        </row>
        <row r="404">
          <cell r="C404" t="str">
            <v>JOSÉ ALBERTO GUERRERO GARCÍA</v>
          </cell>
          <cell r="D404" t="str">
            <v>FACULTAD DE CIENCIAS BÁSICAS</v>
          </cell>
          <cell r="E404" t="str">
            <v>CÁLCULO DE VARIAS VARIABLES</v>
          </cell>
          <cell r="F404" t="str">
            <v>007</v>
          </cell>
          <cell r="G404">
            <v>13</v>
          </cell>
          <cell r="H404">
            <v>9</v>
          </cell>
          <cell r="I404">
            <v>4.5185185185185182</v>
          </cell>
          <cell r="J404">
            <v>4</v>
          </cell>
          <cell r="K404">
            <v>4.25</v>
          </cell>
          <cell r="L404">
            <v>4.5925925925925926</v>
          </cell>
        </row>
        <row r="405">
          <cell r="C405" t="str">
            <v>LUIS ALBERTO ARCILA ARAQUE</v>
          </cell>
          <cell r="D405" t="str">
            <v>FACULTAD DE CIENCIAS BÁSICAS</v>
          </cell>
          <cell r="E405" t="str">
            <v>ESTADÍSTICA</v>
          </cell>
          <cell r="F405" t="str">
            <v>001</v>
          </cell>
          <cell r="G405">
            <v>28</v>
          </cell>
          <cell r="H405">
            <v>14</v>
          </cell>
          <cell r="I405">
            <v>4.4285714285714279</v>
          </cell>
          <cell r="J405">
            <v>4.1224489795918364</v>
          </cell>
          <cell r="K405">
            <v>4.1428571428571423</v>
          </cell>
          <cell r="L405">
            <v>4.6190476190476195</v>
          </cell>
        </row>
        <row r="406">
          <cell r="C406" t="str">
            <v>LUIS GUILLERMO AGUILAR MAYA</v>
          </cell>
          <cell r="D406" t="str">
            <v>FACULTAD DE CIENCIAS BÁSICAS</v>
          </cell>
          <cell r="E406" t="str">
            <v>CÁLCULO INTEGRAL</v>
          </cell>
          <cell r="F406" t="str">
            <v>001</v>
          </cell>
          <cell r="G406">
            <v>25</v>
          </cell>
          <cell r="H406">
            <v>14</v>
          </cell>
          <cell r="I406">
            <v>4.9047619047619051</v>
          </cell>
          <cell r="J406">
            <v>4.4183673469387754</v>
          </cell>
          <cell r="K406">
            <v>4.625</v>
          </cell>
          <cell r="L406">
            <v>4.7380952380952381</v>
          </cell>
        </row>
        <row r="407">
          <cell r="C407" t="str">
            <v>LUIS GUILLERMO AGUILAR MAYA</v>
          </cell>
          <cell r="D407" t="str">
            <v>FACULTAD DE CIENCIAS BÁSICAS</v>
          </cell>
          <cell r="E407" t="str">
            <v>CÁLCULO INTEGRAL</v>
          </cell>
          <cell r="F407" t="str">
            <v>002</v>
          </cell>
          <cell r="G407">
            <v>25</v>
          </cell>
          <cell r="H407">
            <v>10</v>
          </cell>
          <cell r="I407">
            <v>4.6333333333333329</v>
          </cell>
          <cell r="J407">
            <v>4.2571428571428571</v>
          </cell>
          <cell r="K407">
            <v>4.5249999999999995</v>
          </cell>
          <cell r="L407">
            <v>4.5333333333333332</v>
          </cell>
        </row>
        <row r="408">
          <cell r="C408" t="str">
            <v>LUIS GUILLERMO AGUILAR MAYA</v>
          </cell>
          <cell r="D408" t="str">
            <v>FACULTAD DE CIENCIAS BÁSICAS</v>
          </cell>
          <cell r="E408" t="str">
            <v>CÁLCULO INTEGRAL</v>
          </cell>
          <cell r="F408" t="str">
            <v>006</v>
          </cell>
          <cell r="G408">
            <v>21</v>
          </cell>
          <cell r="H408">
            <v>14</v>
          </cell>
          <cell r="I408">
            <v>4.4761904761904772</v>
          </cell>
          <cell r="J408">
            <v>4.2959183673469381</v>
          </cell>
          <cell r="K408">
            <v>4.3392857142857144</v>
          </cell>
          <cell r="L408">
            <v>4.6190476190476195</v>
          </cell>
        </row>
        <row r="409">
          <cell r="C409" t="str">
            <v>RAFAEL ÁNGEL ÁLVAREZ JIMÉNEZ</v>
          </cell>
          <cell r="D409" t="str">
            <v>FACULTAD DE CIENCIAS BÁSICAS</v>
          </cell>
          <cell r="E409" t="str">
            <v>MATEMÁTICAS I</v>
          </cell>
          <cell r="F409" t="str">
            <v>003</v>
          </cell>
          <cell r="G409">
            <v>20</v>
          </cell>
          <cell r="H409">
            <v>4</v>
          </cell>
          <cell r="I409">
            <v>4.333333333333333</v>
          </cell>
          <cell r="J409">
            <v>4.25</v>
          </cell>
          <cell r="K409">
            <v>4</v>
          </cell>
          <cell r="L409">
            <v>4.416666666666667</v>
          </cell>
        </row>
        <row r="410">
          <cell r="C410" t="str">
            <v>RAFAEL ÁNGEL ÁLVAREZ JIMÉNEZ</v>
          </cell>
          <cell r="D410" t="str">
            <v>FACULTAD DE CIENCIAS BÁSICAS</v>
          </cell>
          <cell r="E410" t="str">
            <v>MATEMÁTICAS II</v>
          </cell>
          <cell r="F410" t="str">
            <v>003</v>
          </cell>
          <cell r="G410">
            <v>11</v>
          </cell>
          <cell r="H410">
            <v>3</v>
          </cell>
          <cell r="I410">
            <v>5</v>
          </cell>
          <cell r="J410">
            <v>4</v>
          </cell>
          <cell r="K410">
            <v>4.25</v>
          </cell>
          <cell r="L410">
            <v>4.5555555555555554</v>
          </cell>
        </row>
        <row r="411">
          <cell r="C411" t="str">
            <v>IVÁN ALBERTO MURILLO GIL</v>
          </cell>
          <cell r="D411" t="str">
            <v>FACULTAD DE CIENCIAS BÁSICAS</v>
          </cell>
          <cell r="E411" t="str">
            <v>CÁLCULO INTEGRAL</v>
          </cell>
          <cell r="F411" t="str">
            <v>003</v>
          </cell>
          <cell r="G411">
            <v>13</v>
          </cell>
          <cell r="H411">
            <v>9</v>
          </cell>
          <cell r="I411">
            <v>4.7037037037037033</v>
          </cell>
          <cell r="J411">
            <v>4.2698412698412698</v>
          </cell>
          <cell r="K411">
            <v>4.3055555555555554</v>
          </cell>
          <cell r="L411">
            <v>4.8888888888888893</v>
          </cell>
        </row>
        <row r="412">
          <cell r="C412" t="str">
            <v>IVÁN ALBERTO MURILLO GIL</v>
          </cell>
          <cell r="D412" t="str">
            <v>FACULTAD DE CIENCIAS BÁSICAS</v>
          </cell>
          <cell r="E412" t="str">
            <v>CÁLCULO INTEGRAL</v>
          </cell>
          <cell r="F412" t="str">
            <v>007</v>
          </cell>
          <cell r="G412">
            <v>12</v>
          </cell>
          <cell r="H412">
            <v>6</v>
          </cell>
          <cell r="I412">
            <v>4.0555555555555554</v>
          </cell>
          <cell r="J412">
            <v>4.1190476190476195</v>
          </cell>
          <cell r="K412">
            <v>3.9583333333333339</v>
          </cell>
          <cell r="L412">
            <v>4.0555555555555562</v>
          </cell>
        </row>
        <row r="413">
          <cell r="C413" t="str">
            <v>LUIS GONZALO MUÑOZ HERNÁNDEZ</v>
          </cell>
          <cell r="D413" t="str">
            <v>FACULTAD DE CIENCIAS BÁSICAS</v>
          </cell>
          <cell r="E413" t="str">
            <v>CÁLCULO DIFERENCIAL</v>
          </cell>
          <cell r="F413" t="str">
            <v>004</v>
          </cell>
          <cell r="G413">
            <v>8</v>
          </cell>
          <cell r="H413">
            <v>4</v>
          </cell>
          <cell r="I413">
            <v>4.833333333333333</v>
          </cell>
          <cell r="J413">
            <v>4.5714285714285712</v>
          </cell>
          <cell r="K413">
            <v>4.625</v>
          </cell>
          <cell r="L413">
            <v>4.916666666666667</v>
          </cell>
        </row>
        <row r="414">
          <cell r="C414" t="str">
            <v>LUIS GONZALO MUÑOZ HERNÁNDEZ</v>
          </cell>
          <cell r="D414" t="str">
            <v>FACULTAD DE CIENCIAS BÁSICAS</v>
          </cell>
          <cell r="E414" t="str">
            <v>MATEMÁTICAS I</v>
          </cell>
          <cell r="F414" t="str">
            <v>002</v>
          </cell>
          <cell r="G414">
            <v>8</v>
          </cell>
          <cell r="H414">
            <v>4</v>
          </cell>
          <cell r="I414">
            <v>4.75</v>
          </cell>
          <cell r="J414">
            <v>4.75</v>
          </cell>
          <cell r="K414">
            <v>4.75</v>
          </cell>
          <cell r="L414">
            <v>4.75</v>
          </cell>
        </row>
        <row r="415">
          <cell r="C415" t="str">
            <v>JUAN PABLO FERNÁNDEZ GUTIÉRREZ</v>
          </cell>
          <cell r="D415" t="str">
            <v>FACULTAD DE CIENCIAS BÁSICAS</v>
          </cell>
          <cell r="E415" t="str">
            <v>ÁLGEBRA LINEAL</v>
          </cell>
          <cell r="F415" t="str">
            <v>003</v>
          </cell>
          <cell r="G415">
            <v>26</v>
          </cell>
          <cell r="H415">
            <v>8</v>
          </cell>
          <cell r="I415">
            <v>4.333333333333333</v>
          </cell>
          <cell r="J415">
            <v>3.9107142857142856</v>
          </cell>
          <cell r="K415">
            <v>3.78125</v>
          </cell>
          <cell r="L415">
            <v>4.125</v>
          </cell>
        </row>
        <row r="416">
          <cell r="C416" t="str">
            <v>JUAN PABLO FERNÁNDEZ GUTIÉRREZ</v>
          </cell>
          <cell r="D416" t="str">
            <v>FACULTAD DE CIENCIAS BÁSICAS</v>
          </cell>
          <cell r="E416" t="str">
            <v>ÁLGEBRA LINEAL</v>
          </cell>
          <cell r="F416" t="str">
            <v>008</v>
          </cell>
          <cell r="G416">
            <v>32</v>
          </cell>
          <cell r="H416">
            <v>12</v>
          </cell>
          <cell r="I416">
            <v>3.8333333333333335</v>
          </cell>
          <cell r="J416">
            <v>3.6904761904761907</v>
          </cell>
          <cell r="K416">
            <v>3.2083333333333335</v>
          </cell>
          <cell r="L416">
            <v>3.8333333333333335</v>
          </cell>
        </row>
        <row r="417">
          <cell r="C417" t="str">
            <v>JUAN PABLO FERNÁNDEZ GUTIÉRREZ</v>
          </cell>
          <cell r="D417" t="str">
            <v>FACULTAD DE CIENCIAS BÁSICAS</v>
          </cell>
          <cell r="E417" t="str">
            <v>CÁLCULO DE VARIAS VARIABLES</v>
          </cell>
          <cell r="F417" t="str">
            <v>002</v>
          </cell>
          <cell r="G417">
            <v>18</v>
          </cell>
          <cell r="H417">
            <v>15</v>
          </cell>
          <cell r="I417">
            <v>3.3333333333333335</v>
          </cell>
          <cell r="J417">
            <v>3.2190476190476187</v>
          </cell>
          <cell r="K417">
            <v>3.2333333333333334</v>
          </cell>
          <cell r="L417">
            <v>3.844444444444445</v>
          </cell>
        </row>
        <row r="418">
          <cell r="C418" t="str">
            <v>JUAN PABLO FERNÁNDEZ GUTIÉRREZ</v>
          </cell>
          <cell r="D418" t="str">
            <v>FACULTAD DE CIENCIAS BÁSICAS</v>
          </cell>
          <cell r="E418" t="str">
            <v>CÁLCULO DE VARIAS VARIABLES</v>
          </cell>
          <cell r="F418" t="str">
            <v>005</v>
          </cell>
          <cell r="G418">
            <v>14</v>
          </cell>
          <cell r="H418">
            <v>9</v>
          </cell>
          <cell r="I418">
            <v>3.407407407407407</v>
          </cell>
          <cell r="J418">
            <v>3.8888888888888888</v>
          </cell>
          <cell r="K418">
            <v>3.5833333333333335</v>
          </cell>
          <cell r="L418">
            <v>4.4814814814814818</v>
          </cell>
        </row>
        <row r="419">
          <cell r="C419" t="str">
            <v>JUAN MAURICIO MUÑOZ ZAPATA</v>
          </cell>
          <cell r="D419" t="str">
            <v>FACULTAD DE CIENCIAS BÁSICAS</v>
          </cell>
          <cell r="E419" t="str">
            <v>ÁLGEBRA Y TRIGONOMETRÍA</v>
          </cell>
          <cell r="F419" t="str">
            <v>003</v>
          </cell>
          <cell r="G419">
            <v>17</v>
          </cell>
          <cell r="H419">
            <v>2</v>
          </cell>
          <cell r="I419">
            <v>4.666666666666667</v>
          </cell>
          <cell r="J419">
            <v>4.9285714285714288</v>
          </cell>
          <cell r="K419">
            <v>4.5</v>
          </cell>
          <cell r="L419">
            <v>5</v>
          </cell>
        </row>
        <row r="420">
          <cell r="C420" t="str">
            <v>JUAN MAURICIO MUÑOZ ZAPATA</v>
          </cell>
          <cell r="D420" t="str">
            <v>FACULTAD DE CIENCIAS BÁSICAS</v>
          </cell>
          <cell r="E420" t="str">
            <v>MATEMÁTICAS II</v>
          </cell>
          <cell r="F420" t="str">
            <v>001</v>
          </cell>
          <cell r="G420">
            <v>19</v>
          </cell>
          <cell r="H420">
            <v>4</v>
          </cell>
          <cell r="I420">
            <v>4.75</v>
          </cell>
          <cell r="J420">
            <v>4.75</v>
          </cell>
          <cell r="K420">
            <v>4.75</v>
          </cell>
          <cell r="L420">
            <v>4.75</v>
          </cell>
        </row>
        <row r="421">
          <cell r="C421" t="str">
            <v>ÉDGAR ARTURO RENDÓN PALACIO</v>
          </cell>
          <cell r="D421" t="str">
            <v>FACULTAD DE CIENCIAS BÁSICAS</v>
          </cell>
          <cell r="E421" t="str">
            <v>MATEMÁTICAS I</v>
          </cell>
          <cell r="F421" t="str">
            <v>001</v>
          </cell>
          <cell r="G421">
            <v>25</v>
          </cell>
          <cell r="H421">
            <v>2</v>
          </cell>
          <cell r="I421">
            <v>5</v>
          </cell>
          <cell r="J421">
            <v>4.5714285714285712</v>
          </cell>
          <cell r="K421">
            <v>5</v>
          </cell>
          <cell r="L421">
            <v>4.666666666666667</v>
          </cell>
        </row>
        <row r="422">
          <cell r="C422" t="str">
            <v>ÉDGAR ARTURO RENDÓN PALACIO</v>
          </cell>
          <cell r="D422" t="str">
            <v>FACULTAD DE CIENCIAS BÁSICAS</v>
          </cell>
          <cell r="E422" t="str">
            <v>MATEMÁTICAS I</v>
          </cell>
          <cell r="F422" t="str">
            <v>005</v>
          </cell>
          <cell r="G422">
            <v>35</v>
          </cell>
          <cell r="H422">
            <v>1</v>
          </cell>
          <cell r="I422">
            <v>5</v>
          </cell>
          <cell r="J422">
            <v>3.8571428571428572</v>
          </cell>
          <cell r="K422">
            <v>4.25</v>
          </cell>
          <cell r="L422">
            <v>5</v>
          </cell>
        </row>
        <row r="423">
          <cell r="C423" t="str">
            <v>JAIME ALBERTO OSPINA GIRALDO</v>
          </cell>
          <cell r="D423" t="str">
            <v>FACULTAD DE CIENCIAS BÁSICAS</v>
          </cell>
          <cell r="E423" t="str">
            <v>CÁLCULO INTEGRAL</v>
          </cell>
          <cell r="F423" t="str">
            <v>004</v>
          </cell>
          <cell r="G423">
            <v>9</v>
          </cell>
          <cell r="H423">
            <v>1</v>
          </cell>
          <cell r="I423">
            <v>4.333333333333333</v>
          </cell>
          <cell r="J423">
            <v>4.5714285714285712</v>
          </cell>
          <cell r="K423">
            <v>4.25</v>
          </cell>
          <cell r="L423">
            <v>5</v>
          </cell>
        </row>
        <row r="424">
          <cell r="C424" t="str">
            <v>JAIME ALBERTO OSPINA GIRALDO</v>
          </cell>
          <cell r="D424" t="str">
            <v>FACULTAD DE CIENCIAS BÁSICAS</v>
          </cell>
          <cell r="E424" t="str">
            <v>MATEMÁTICAS II</v>
          </cell>
          <cell r="F424" t="str">
            <v>006</v>
          </cell>
          <cell r="G424">
            <v>30</v>
          </cell>
          <cell r="H424">
            <v>10</v>
          </cell>
          <cell r="I424">
            <v>4.2</v>
          </cell>
          <cell r="J424">
            <v>3.8999999999999995</v>
          </cell>
          <cell r="K424">
            <v>4.0250000000000004</v>
          </cell>
          <cell r="L424">
            <v>4.1333333333333329</v>
          </cell>
        </row>
        <row r="425">
          <cell r="C425" t="str">
            <v>ELKIN LUBIN ARIAS LONDOÑO</v>
          </cell>
          <cell r="D425" t="str">
            <v>FACULTAD DE CIENCIAS BÁSICAS</v>
          </cell>
          <cell r="E425" t="str">
            <v>CÁLCULO DE VARIAS VARIABLES</v>
          </cell>
          <cell r="F425" t="str">
            <v>003</v>
          </cell>
          <cell r="G425">
            <v>22</v>
          </cell>
          <cell r="H425">
            <v>15</v>
          </cell>
          <cell r="I425">
            <v>4.6888888888888891</v>
          </cell>
          <cell r="J425">
            <v>4.4000000000000004</v>
          </cell>
          <cell r="K425">
            <v>4.5333333333333332</v>
          </cell>
          <cell r="L425">
            <v>4.6888888888888891</v>
          </cell>
        </row>
        <row r="426">
          <cell r="C426" t="str">
            <v>ELKIN LUBIN ARIAS LONDOÑO</v>
          </cell>
          <cell r="D426" t="str">
            <v>FACULTAD DE CIENCIAS BÁSICAS</v>
          </cell>
          <cell r="E426" t="str">
            <v>CÁLCULO DE VARIAS VARIABLES</v>
          </cell>
          <cell r="F426" t="str">
            <v>004</v>
          </cell>
          <cell r="G426">
            <v>20</v>
          </cell>
          <cell r="H426">
            <v>11</v>
          </cell>
          <cell r="I426">
            <v>4.9090909090909092</v>
          </cell>
          <cell r="J426">
            <v>4.5974025974025974</v>
          </cell>
          <cell r="K426">
            <v>4.6818181818181817</v>
          </cell>
          <cell r="L426">
            <v>4.666666666666667</v>
          </cell>
        </row>
        <row r="427">
          <cell r="C427" t="str">
            <v>ELKIN LUBIN ARIAS LONDOÑO</v>
          </cell>
          <cell r="D427" t="str">
            <v>FACULTAD DE CIENCIAS BÁSICAS</v>
          </cell>
          <cell r="E427" t="str">
            <v xml:space="preserve">ECUACIONES DIFERENCIALES                                    </v>
          </cell>
          <cell r="F427" t="str">
            <v>001</v>
          </cell>
          <cell r="G427">
            <v>21</v>
          </cell>
          <cell r="H427">
            <v>10</v>
          </cell>
          <cell r="I427">
            <v>4.5666666666666664</v>
          </cell>
          <cell r="J427">
            <v>4.3285714285714283</v>
          </cell>
          <cell r="K427">
            <v>4.5250000000000004</v>
          </cell>
          <cell r="L427">
            <v>4.6333333333333329</v>
          </cell>
        </row>
        <row r="428">
          <cell r="C428" t="str">
            <v>ELKIN LUBIN ARIAS LONDOÑO</v>
          </cell>
          <cell r="D428" t="str">
            <v>FACULTAD DE CIENCIAS BÁSICAS</v>
          </cell>
          <cell r="E428" t="str">
            <v xml:space="preserve">ECUACIONES DIFERENCIALES                                    </v>
          </cell>
          <cell r="F428" t="str">
            <v>002</v>
          </cell>
          <cell r="G428">
            <v>18</v>
          </cell>
          <cell r="H428">
            <v>8</v>
          </cell>
          <cell r="I428">
            <v>4.791666666666667</v>
          </cell>
          <cell r="J428">
            <v>4.75</v>
          </cell>
          <cell r="K428">
            <v>4.75</v>
          </cell>
          <cell r="L428">
            <v>4.75</v>
          </cell>
        </row>
        <row r="429">
          <cell r="C429" t="str">
            <v>ELKIN LUBIN ARIAS LONDOÑO</v>
          </cell>
          <cell r="D429" t="str">
            <v>FACULTAD DE CIENCIAS BÁSICAS</v>
          </cell>
          <cell r="E429" t="str">
            <v xml:space="preserve">ECUACIONES DIFERENCIALES                                    </v>
          </cell>
          <cell r="F429" t="str">
            <v>003</v>
          </cell>
          <cell r="G429">
            <v>23</v>
          </cell>
          <cell r="H429">
            <v>15</v>
          </cell>
          <cell r="I429">
            <v>4.7333333333333334</v>
          </cell>
          <cell r="J429">
            <v>4.5999999999999996</v>
          </cell>
          <cell r="K429">
            <v>4.6833333333333336</v>
          </cell>
          <cell r="L429">
            <v>4.5333333333333323</v>
          </cell>
        </row>
        <row r="430">
          <cell r="C430" t="str">
            <v>CARLOS ANDRÉS GARCÍA MOUSSA</v>
          </cell>
          <cell r="D430" t="str">
            <v>FACULTAD DE CIENCIAS BÁSICAS</v>
          </cell>
          <cell r="E430" t="str">
            <v>ÁLGEBRA Y TRIGONOMETRÍA</v>
          </cell>
          <cell r="F430" t="str">
            <v>006</v>
          </cell>
          <cell r="G430">
            <v>22</v>
          </cell>
          <cell r="H430">
            <v>5</v>
          </cell>
          <cell r="I430">
            <v>5</v>
          </cell>
          <cell r="J430">
            <v>4.9428571428571431</v>
          </cell>
          <cell r="K430">
            <v>5</v>
          </cell>
          <cell r="L430">
            <v>5</v>
          </cell>
        </row>
        <row r="431">
          <cell r="C431" t="str">
            <v>CARLOS ANDRÉS GARCÍA MOUSSA</v>
          </cell>
          <cell r="D431" t="str">
            <v>FACULTAD DE CIENCIAS BÁSICAS</v>
          </cell>
          <cell r="E431" t="str">
            <v>CÁLCULO INTEGRAL</v>
          </cell>
          <cell r="F431" t="str">
            <v>005</v>
          </cell>
          <cell r="G431">
            <v>19</v>
          </cell>
          <cell r="H431">
            <v>7</v>
          </cell>
          <cell r="I431">
            <v>5</v>
          </cell>
          <cell r="J431">
            <v>4.8367346938775517</v>
          </cell>
          <cell r="K431">
            <v>4.7857142857142856</v>
          </cell>
          <cell r="L431">
            <v>4.9523809523809526</v>
          </cell>
        </row>
        <row r="432">
          <cell r="C432" t="str">
            <v>CARLOS ANDRÉS GARCÍA MOUSSA</v>
          </cell>
          <cell r="D432" t="str">
            <v>FACULTAD DE CIENCIAS BÁSICAS</v>
          </cell>
          <cell r="E432" t="str">
            <v>CÁLCULO DIFERENCIAL</v>
          </cell>
          <cell r="F432" t="str">
            <v>003</v>
          </cell>
          <cell r="G432">
            <v>28</v>
          </cell>
          <cell r="H432">
            <v>12</v>
          </cell>
          <cell r="I432">
            <v>4.5555555555555554</v>
          </cell>
          <cell r="J432">
            <v>4.4761904761904763</v>
          </cell>
          <cell r="K432">
            <v>4.4583333333333339</v>
          </cell>
          <cell r="L432">
            <v>4.583333333333333</v>
          </cell>
        </row>
        <row r="433">
          <cell r="C433" t="str">
            <v>WILLIAM ALEXANDER TORRES ZAMBRANO</v>
          </cell>
          <cell r="D433" t="str">
            <v>FACULTAD DE CIENCIAS BÁSICAS</v>
          </cell>
          <cell r="E433" t="str">
            <v>ANÁLISIS GEOMÉTRICO</v>
          </cell>
          <cell r="F433" t="str">
            <v>001</v>
          </cell>
          <cell r="G433">
            <v>21</v>
          </cell>
          <cell r="H433">
            <v>4</v>
          </cell>
          <cell r="I433">
            <v>5</v>
          </cell>
          <cell r="J433">
            <v>5</v>
          </cell>
          <cell r="K433">
            <v>5</v>
          </cell>
          <cell r="L433">
            <v>4.75</v>
          </cell>
        </row>
        <row r="434">
          <cell r="C434" t="str">
            <v>WILLIAM ALEXANDER TORRES ZAMBRANO</v>
          </cell>
          <cell r="D434" t="str">
            <v>FACULTAD DE CIENCIAS BÁSICAS</v>
          </cell>
          <cell r="E434" t="str">
            <v>CÁLCULO DIFERENCIAL</v>
          </cell>
          <cell r="F434" t="str">
            <v>008</v>
          </cell>
          <cell r="G434">
            <v>6</v>
          </cell>
          <cell r="H434">
            <v>2</v>
          </cell>
          <cell r="I434">
            <v>5</v>
          </cell>
          <cell r="J434">
            <v>5</v>
          </cell>
          <cell r="K434">
            <v>5</v>
          </cell>
          <cell r="L434">
            <v>5</v>
          </cell>
        </row>
        <row r="435">
          <cell r="C435" t="str">
            <v>JAIME HUMBERTO HOYOS BARRIOS</v>
          </cell>
          <cell r="D435" t="str">
            <v>FACULTAD DE CIENCIAS BÁSICAS</v>
          </cell>
          <cell r="E435" t="str">
            <v>ANÁLISIS GEOMÉTRICO</v>
          </cell>
          <cell r="F435" t="str">
            <v>002</v>
          </cell>
          <cell r="G435">
            <v>23</v>
          </cell>
          <cell r="H435">
            <v>5</v>
          </cell>
          <cell r="I435">
            <v>4.6666666666666661</v>
          </cell>
          <cell r="J435">
            <v>4.7142857142857144</v>
          </cell>
          <cell r="K435">
            <v>4.75</v>
          </cell>
          <cell r="L435">
            <v>4.8666666666666663</v>
          </cell>
        </row>
        <row r="436">
          <cell r="C436" t="str">
            <v>DAVID VANEGAS FORERO</v>
          </cell>
          <cell r="D436" t="str">
            <v>FACULTAD DE CIENCIAS BÁSICAS</v>
          </cell>
          <cell r="E436" t="str">
            <v>FÍSICA II</v>
          </cell>
          <cell r="F436" t="str">
            <v>001</v>
          </cell>
          <cell r="G436">
            <v>17</v>
          </cell>
          <cell r="H436">
            <v>4</v>
          </cell>
          <cell r="I436">
            <v>4.333333333333333</v>
          </cell>
          <cell r="J436">
            <v>3.7142857142857144</v>
          </cell>
          <cell r="K436">
            <v>3.5</v>
          </cell>
          <cell r="L436">
            <v>4.166666666666667</v>
          </cell>
        </row>
        <row r="437">
          <cell r="C437" t="str">
            <v>DAVID VANEGAS FORERO</v>
          </cell>
          <cell r="D437" t="str">
            <v>FACULTAD DE CIENCIAS BÁSICAS</v>
          </cell>
          <cell r="E437" t="str">
            <v>PRÁCTICA DE FÍSICA II</v>
          </cell>
          <cell r="F437" t="str">
            <v>007</v>
          </cell>
          <cell r="G437">
            <v>15</v>
          </cell>
          <cell r="H437">
            <v>5</v>
          </cell>
          <cell r="I437">
            <v>4.7333333333333334</v>
          </cell>
          <cell r="J437">
            <v>4.4571428571428573</v>
          </cell>
          <cell r="K437">
            <v>4.5</v>
          </cell>
          <cell r="L437">
            <v>4.8</v>
          </cell>
        </row>
        <row r="438">
          <cell r="C438" t="str">
            <v>DAVID VANEGAS FORERO</v>
          </cell>
          <cell r="D438" t="str">
            <v>FACULTAD DE CIENCIAS BÁSICAS</v>
          </cell>
          <cell r="E438" t="str">
            <v>PRÁCTICA DE FÍSICA II</v>
          </cell>
          <cell r="F438" t="str">
            <v>009</v>
          </cell>
          <cell r="G438">
            <v>7</v>
          </cell>
          <cell r="H438">
            <v>4</v>
          </cell>
          <cell r="I438">
            <v>4.916666666666667</v>
          </cell>
          <cell r="J438">
            <v>4.7142857142857144</v>
          </cell>
          <cell r="K438">
            <v>4.6875</v>
          </cell>
          <cell r="L438">
            <v>4.833333333333333</v>
          </cell>
        </row>
        <row r="439">
          <cell r="C439" t="str">
            <v>JORGE IVÁN LONDOÑO MARÍN</v>
          </cell>
          <cell r="D439" t="str">
            <v>FACULTAD DE CIENCIAS BÁSICAS</v>
          </cell>
          <cell r="E439" t="str">
            <v>ÁLGEBRA Y TRIGONOMETRÍA</v>
          </cell>
          <cell r="F439" t="str">
            <v>010</v>
          </cell>
          <cell r="G439">
            <v>16</v>
          </cell>
          <cell r="H439">
            <v>2</v>
          </cell>
          <cell r="I439">
            <v>5</v>
          </cell>
          <cell r="J439">
            <v>4.2142857142857144</v>
          </cell>
          <cell r="K439">
            <v>4.5</v>
          </cell>
          <cell r="L439">
            <v>4.5</v>
          </cell>
        </row>
        <row r="440">
          <cell r="C440" t="str">
            <v>JORGE IVÁN LONDOÑO MARÍN</v>
          </cell>
          <cell r="D440" t="str">
            <v>FACULTAD DE CIENCIAS BÁSICAS</v>
          </cell>
          <cell r="E440" t="str">
            <v>ANÁLISIS GEOMÉTRICO</v>
          </cell>
          <cell r="F440" t="str">
            <v>003</v>
          </cell>
          <cell r="G440">
            <v>17</v>
          </cell>
          <cell r="H440">
            <v>3</v>
          </cell>
          <cell r="I440">
            <v>5</v>
          </cell>
          <cell r="J440">
            <v>4.7619047619047619</v>
          </cell>
          <cell r="K440">
            <v>5</v>
          </cell>
          <cell r="L440">
            <v>4.666666666666667</v>
          </cell>
        </row>
        <row r="441">
          <cell r="C441" t="str">
            <v>JORGE IVÁN LONDOÑO MARÍN</v>
          </cell>
          <cell r="D441" t="str">
            <v>FACULTAD DE CIENCIAS BÁSICAS</v>
          </cell>
          <cell r="E441" t="str">
            <v>CÁLCULO DIFERENCIAL</v>
          </cell>
          <cell r="F441" t="str">
            <v>007</v>
          </cell>
          <cell r="G441">
            <v>18</v>
          </cell>
          <cell r="H441">
            <v>4</v>
          </cell>
          <cell r="I441">
            <v>4.75</v>
          </cell>
          <cell r="J441">
            <v>4.75</v>
          </cell>
          <cell r="K441">
            <v>4.75</v>
          </cell>
          <cell r="L441">
            <v>4.75</v>
          </cell>
        </row>
        <row r="442">
          <cell r="C442" t="str">
            <v>JULIAN DAVID CORREA ABAD</v>
          </cell>
          <cell r="D442" t="str">
            <v>FACULTAD DE CIENCIAS BÁSICAS</v>
          </cell>
          <cell r="E442" t="str">
            <v>FÍSICA II</v>
          </cell>
          <cell r="F442" t="str">
            <v>008</v>
          </cell>
          <cell r="G442">
            <v>25</v>
          </cell>
          <cell r="H442">
            <v>16</v>
          </cell>
          <cell r="I442">
            <v>4.9375</v>
          </cell>
          <cell r="J442">
            <v>4.9375</v>
          </cell>
          <cell r="K442">
            <v>4.96875</v>
          </cell>
          <cell r="L442">
            <v>4.958333333333333</v>
          </cell>
        </row>
        <row r="443">
          <cell r="C443" t="str">
            <v>JOSÉ JESÚS TORRES ARIAS</v>
          </cell>
          <cell r="D443" t="str">
            <v>FACULTAD DE CIENCIAS BÁSICAS</v>
          </cell>
          <cell r="E443" t="str">
            <v>ÁLGEBRA LINEAL</v>
          </cell>
          <cell r="F443" t="str">
            <v>004</v>
          </cell>
          <cell r="G443">
            <v>9</v>
          </cell>
          <cell r="H443">
            <v>6</v>
          </cell>
          <cell r="I443">
            <v>4.166666666666667</v>
          </cell>
          <cell r="J443">
            <v>3.6190476190476191</v>
          </cell>
          <cell r="K443">
            <v>3.6666666666666665</v>
          </cell>
          <cell r="L443">
            <v>4.1111111111111107</v>
          </cell>
        </row>
        <row r="444">
          <cell r="C444" t="str">
            <v>JOSÉ JESÚS TORRES ARIAS</v>
          </cell>
          <cell r="D444" t="str">
            <v>FACULTAD DE CIENCIAS BÁSICAS</v>
          </cell>
          <cell r="E444" t="str">
            <v>ÁLGEBRA LINEAL</v>
          </cell>
          <cell r="F444" t="str">
            <v>006</v>
          </cell>
          <cell r="G444">
            <v>24</v>
          </cell>
          <cell r="H444">
            <v>11</v>
          </cell>
          <cell r="I444">
            <v>3.0606060606060606</v>
          </cell>
          <cell r="J444">
            <v>2.7402597402597402</v>
          </cell>
          <cell r="K444">
            <v>2.4318181818181817</v>
          </cell>
          <cell r="L444">
            <v>3.2121212121212124</v>
          </cell>
        </row>
        <row r="445">
          <cell r="C445" t="str">
            <v>JOSÉ JESÚS TORRES ARIAS</v>
          </cell>
          <cell r="D445" t="str">
            <v>FACULTAD DE CIENCIAS BÁSICAS</v>
          </cell>
          <cell r="E445" t="str">
            <v>ÁLGEBRA LINEAL</v>
          </cell>
          <cell r="F445" t="str">
            <v>007</v>
          </cell>
          <cell r="G445">
            <v>26</v>
          </cell>
          <cell r="H445">
            <v>5</v>
          </cell>
          <cell r="I445">
            <v>3.8000000000000003</v>
          </cell>
          <cell r="J445">
            <v>3.2285714285714286</v>
          </cell>
          <cell r="K445">
            <v>3.05</v>
          </cell>
          <cell r="L445">
            <v>3.4666666666666668</v>
          </cell>
        </row>
        <row r="446">
          <cell r="C446" t="str">
            <v>JOSÉ JESÚS TORRES ARIAS</v>
          </cell>
          <cell r="D446" t="str">
            <v>FACULTAD DE CIENCIAS BÁSICAS</v>
          </cell>
          <cell r="E446" t="str">
            <v>ÁLGEBRA LINEAL</v>
          </cell>
          <cell r="F446" t="str">
            <v>009</v>
          </cell>
          <cell r="G446">
            <v>16</v>
          </cell>
          <cell r="H446">
            <v>7</v>
          </cell>
          <cell r="I446">
            <v>3.6666666666666665</v>
          </cell>
          <cell r="J446">
            <v>3.3469387755102042</v>
          </cell>
          <cell r="K446">
            <v>3.1071428571428568</v>
          </cell>
          <cell r="L446">
            <v>4.0000000000000009</v>
          </cell>
        </row>
        <row r="447">
          <cell r="C447" t="str">
            <v>JOSÉ JESÚS TORRES ARIAS</v>
          </cell>
          <cell r="D447" t="str">
            <v>FACULTAD DE CIENCIAS BÁSICAS</v>
          </cell>
          <cell r="E447" t="str">
            <v>CÁLCULO DIFERENCIAL</v>
          </cell>
          <cell r="F447" t="str">
            <v>011</v>
          </cell>
          <cell r="G447">
            <v>25</v>
          </cell>
          <cell r="H447">
            <v>7</v>
          </cell>
          <cell r="I447">
            <v>3.2857142857142851</v>
          </cell>
          <cell r="J447">
            <v>3.2857142857142851</v>
          </cell>
          <cell r="K447">
            <v>3.0714285714285712</v>
          </cell>
          <cell r="L447">
            <v>3.285714285714286</v>
          </cell>
        </row>
        <row r="448">
          <cell r="C448" t="str">
            <v>EVER ALBERTO VELÁSQUEZ SIERRA</v>
          </cell>
          <cell r="D448" t="str">
            <v>FACULTAD DE CIENCIAS BÁSICAS</v>
          </cell>
          <cell r="E448" t="str">
            <v>PRÁCTICA DE FÍSICA I</v>
          </cell>
          <cell r="F448" t="str">
            <v>007</v>
          </cell>
          <cell r="G448">
            <v>10</v>
          </cell>
          <cell r="H448">
            <v>4</v>
          </cell>
          <cell r="I448">
            <v>3.9166666666666665</v>
          </cell>
          <cell r="J448">
            <v>3.75</v>
          </cell>
          <cell r="K448">
            <v>3.6875</v>
          </cell>
          <cell r="L448">
            <v>3.75</v>
          </cell>
        </row>
        <row r="449">
          <cell r="C449" t="str">
            <v>EVER ALBERTO VELÁSQUEZ SIERRA</v>
          </cell>
          <cell r="D449" t="str">
            <v>FACULTAD DE CIENCIAS BÁSICAS</v>
          </cell>
          <cell r="E449" t="str">
            <v>FÍSICA II</v>
          </cell>
          <cell r="F449" t="str">
            <v>003</v>
          </cell>
          <cell r="G449">
            <v>18</v>
          </cell>
          <cell r="H449">
            <v>14</v>
          </cell>
          <cell r="I449">
            <v>4.8095238095238093</v>
          </cell>
          <cell r="J449">
            <v>4.7551020408163263</v>
          </cell>
          <cell r="K449">
            <v>4.6785714285714288</v>
          </cell>
          <cell r="L449">
            <v>4.7142857142857144</v>
          </cell>
        </row>
        <row r="450">
          <cell r="C450" t="str">
            <v>EVER ALBERTO VELÁSQUEZ SIERRA</v>
          </cell>
          <cell r="D450" t="str">
            <v>FACULTAD DE CIENCIAS BÁSICAS</v>
          </cell>
          <cell r="E450" t="str">
            <v>FÍSICA II</v>
          </cell>
          <cell r="F450" t="str">
            <v>004</v>
          </cell>
          <cell r="G450">
            <v>12</v>
          </cell>
          <cell r="H450">
            <v>4</v>
          </cell>
          <cell r="I450">
            <v>4.833333333333333</v>
          </cell>
          <cell r="J450">
            <v>4.7142857142857144</v>
          </cell>
          <cell r="K450">
            <v>4.75</v>
          </cell>
          <cell r="L450">
            <v>4.75</v>
          </cell>
        </row>
        <row r="451">
          <cell r="C451" t="str">
            <v>EVER ALBERTO VELÁSQUEZ SIERRA</v>
          </cell>
          <cell r="D451" t="str">
            <v>FACULTAD DE CIENCIAS BÁSICAS</v>
          </cell>
          <cell r="E451" t="str">
            <v>FÍSICA II</v>
          </cell>
          <cell r="F451" t="str">
            <v>005</v>
          </cell>
          <cell r="G451">
            <v>16</v>
          </cell>
          <cell r="H451">
            <v>11</v>
          </cell>
          <cell r="I451">
            <v>4.575757575757577</v>
          </cell>
          <cell r="J451">
            <v>4.3766233766233764</v>
          </cell>
          <cell r="K451">
            <v>4.2727272727272725</v>
          </cell>
          <cell r="L451">
            <v>4.4848484848484853</v>
          </cell>
        </row>
        <row r="452">
          <cell r="C452" t="str">
            <v>EVER ALBERTO VELÁSQUEZ SIERRA</v>
          </cell>
          <cell r="D452" t="str">
            <v>FACULTAD DE CIENCIAS BÁSICAS</v>
          </cell>
          <cell r="E452" t="str">
            <v>PRÁCTICA DE FÍSICA II</v>
          </cell>
          <cell r="F452" t="str">
            <v>004</v>
          </cell>
          <cell r="G452">
            <v>16</v>
          </cell>
          <cell r="H452">
            <v>7</v>
          </cell>
          <cell r="I452">
            <v>4.9523809523809526</v>
          </cell>
          <cell r="J452">
            <v>4.8163265306122449</v>
          </cell>
          <cell r="K452">
            <v>4.6785714285714288</v>
          </cell>
          <cell r="L452">
            <v>4.666666666666667</v>
          </cell>
        </row>
        <row r="453">
          <cell r="C453" t="str">
            <v>EVER ALBERTO VELÁSQUEZ SIERRA</v>
          </cell>
          <cell r="D453" t="str">
            <v>FACULTAD DE CIENCIAS BÁSICAS</v>
          </cell>
          <cell r="E453" t="str">
            <v>PRÁCTICA DE FÍSICA II</v>
          </cell>
          <cell r="F453" t="str">
            <v>008</v>
          </cell>
          <cell r="G453">
            <v>18</v>
          </cell>
          <cell r="H453">
            <v>11</v>
          </cell>
          <cell r="I453">
            <v>4.8484848484848486</v>
          </cell>
          <cell r="J453">
            <v>4.7272727272727275</v>
          </cell>
          <cell r="K453">
            <v>4.7272727272727275</v>
          </cell>
          <cell r="L453">
            <v>4.7878787878787881</v>
          </cell>
        </row>
        <row r="454">
          <cell r="C454" t="str">
            <v>CARLOS ANDRÉS JIMÉNEZ OROZCO</v>
          </cell>
          <cell r="D454" t="str">
            <v>FACULTAD DE CIENCIAS BÁSICAS</v>
          </cell>
          <cell r="E454" t="str">
            <v>PRÁCTICA DE QUÍMICA GENERAL</v>
          </cell>
          <cell r="F454" t="str">
            <v>001</v>
          </cell>
          <cell r="G454">
            <v>12</v>
          </cell>
          <cell r="H454">
            <v>2</v>
          </cell>
          <cell r="I454">
            <v>5</v>
          </cell>
          <cell r="J454">
            <v>4.7142857142857144</v>
          </cell>
          <cell r="K454">
            <v>5</v>
          </cell>
          <cell r="L454">
            <v>4.833333333333333</v>
          </cell>
        </row>
      </sheetData>
      <sheetData sheetId="4">
        <row r="6">
          <cell r="A6" t="str">
            <v>DIEGO ALEJANDRO MARÍN ÁLVAREZ</v>
          </cell>
        </row>
      </sheetData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CD8D7-D52A-4A25-BAB0-0D78006E8671}">
  <dimension ref="A1:J11"/>
  <sheetViews>
    <sheetView tabSelected="1" workbookViewId="0">
      <selection activeCell="L5" sqref="L5"/>
    </sheetView>
  </sheetViews>
  <sheetFormatPr baseColWidth="10" defaultRowHeight="14.4" x14ac:dyDescent="0.3"/>
  <sheetData>
    <row r="1" spans="1:10" ht="2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ht="21" x14ac:dyDescent="0.3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</row>
    <row r="3" spans="1:10" ht="21" x14ac:dyDescent="0.3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</row>
    <row r="4" spans="1:10" ht="18" x14ac:dyDescent="0.3">
      <c r="A4" s="2" t="s">
        <v>3</v>
      </c>
      <c r="B4" s="3"/>
      <c r="C4" s="4"/>
      <c r="D4" s="3"/>
      <c r="E4" s="3"/>
      <c r="F4" s="3"/>
      <c r="G4" s="3"/>
      <c r="H4" s="3"/>
      <c r="I4" s="3"/>
      <c r="J4" s="3"/>
    </row>
    <row r="5" spans="1:10" x14ac:dyDescent="0.3">
      <c r="A5" s="5"/>
      <c r="B5" s="3"/>
      <c r="C5" s="4"/>
      <c r="D5" s="3"/>
      <c r="E5" s="3"/>
      <c r="F5" s="3"/>
      <c r="G5" s="3"/>
      <c r="H5" s="3"/>
      <c r="I5" s="3"/>
      <c r="J5" s="3"/>
    </row>
    <row r="6" spans="1:10" x14ac:dyDescent="0.3">
      <c r="A6" s="6" t="s">
        <v>4</v>
      </c>
      <c r="B6" s="6"/>
      <c r="C6" s="6"/>
      <c r="D6" s="6"/>
      <c r="E6" s="6"/>
      <c r="F6" s="6"/>
      <c r="G6" s="6"/>
      <c r="H6" s="6"/>
      <c r="I6" s="6"/>
      <c r="J6" s="6"/>
    </row>
    <row r="7" spans="1:10" x14ac:dyDescent="0.3">
      <c r="A7" s="3"/>
      <c r="B7" s="3"/>
      <c r="C7" s="4"/>
      <c r="D7" s="3"/>
      <c r="E7" s="3"/>
      <c r="F7" s="3"/>
      <c r="G7" s="3"/>
      <c r="H7" s="3"/>
      <c r="I7" s="3"/>
      <c r="J7" s="3"/>
    </row>
    <row r="8" spans="1:10" ht="57.6" x14ac:dyDescent="0.3">
      <c r="A8" s="7" t="s">
        <v>5</v>
      </c>
      <c r="B8" s="7" t="s">
        <v>6</v>
      </c>
      <c r="C8" s="8" t="s">
        <v>7</v>
      </c>
      <c r="D8" s="7" t="s">
        <v>8</v>
      </c>
      <c r="E8" s="7" t="s">
        <v>9</v>
      </c>
      <c r="F8" s="7" t="s">
        <v>10</v>
      </c>
      <c r="G8" s="7" t="s">
        <v>11</v>
      </c>
      <c r="H8" s="7" t="s">
        <v>12</v>
      </c>
      <c r="I8" s="7" t="s">
        <v>13</v>
      </c>
      <c r="J8" s="7" t="s">
        <v>14</v>
      </c>
    </row>
    <row r="9" spans="1:10" x14ac:dyDescent="0.3">
      <c r="A9" s="3" t="str" cm="1">
        <f t="array" ref="A9:I10">_xlfn._xlws.FILTER([1]Promedios!D:L,[1]Promedios!C:C=[1]Visualización!A6)</f>
        <v>FACULTAD DE INGENIERÍAS</v>
      </c>
      <c r="B9" s="3" t="str">
        <v>INGENIERÍA DE REQUISITOS</v>
      </c>
      <c r="C9" s="4" t="str">
        <v>064</v>
      </c>
      <c r="D9" s="9">
        <v>14</v>
      </c>
      <c r="E9" s="9">
        <v>6</v>
      </c>
      <c r="F9" s="10">
        <v>4.7777777777777777</v>
      </c>
      <c r="G9" s="10">
        <v>4.6428571428571432</v>
      </c>
      <c r="H9" s="10">
        <v>4.708333333333333</v>
      </c>
      <c r="I9" s="10">
        <v>4.833333333333333</v>
      </c>
      <c r="J9" s="10">
        <f>IFERROR(AVERAGE(F9:I9),"")</f>
        <v>4.7405753968253963</v>
      </c>
    </row>
    <row r="10" spans="1:10" x14ac:dyDescent="0.3">
      <c r="A10" s="3" t="str">
        <v>FACULTAD DE INGENIERÍAS</v>
      </c>
      <c r="B10" s="3" t="str">
        <v>INGENIERÍA DE REQUISITOS</v>
      </c>
      <c r="C10" s="4" t="str">
        <v>065</v>
      </c>
      <c r="D10" s="9">
        <v>16</v>
      </c>
      <c r="E10" s="9">
        <v>5</v>
      </c>
      <c r="F10" s="10">
        <v>4.8666666666666671</v>
      </c>
      <c r="G10" s="10">
        <v>4.6571428571428575</v>
      </c>
      <c r="H10" s="10">
        <v>4.75</v>
      </c>
      <c r="I10" s="10">
        <v>4.8666666666666671</v>
      </c>
      <c r="J10" s="10">
        <f t="shared" ref="J10:J11" si="0">IFERROR(AVERAGE(F10:I10),"")</f>
        <v>4.7851190476190482</v>
      </c>
    </row>
    <row r="11" spans="1:10" x14ac:dyDescent="0.3">
      <c r="A11" s="3"/>
      <c r="B11" s="3"/>
      <c r="C11" s="4"/>
      <c r="D11" s="9"/>
      <c r="E11" s="9"/>
      <c r="F11" s="10"/>
      <c r="G11" s="10"/>
      <c r="H11" s="10"/>
      <c r="I11" s="10"/>
      <c r="J11" s="10" t="str">
        <f t="shared" si="0"/>
        <v/>
      </c>
    </row>
  </sheetData>
  <protectedRanges>
    <protectedRange sqref="A6:H6" name="Rango1"/>
  </protectedRanges>
  <mergeCells count="4">
    <mergeCell ref="A1:J1"/>
    <mergeCell ref="A2:J2"/>
    <mergeCell ref="A3:J3"/>
    <mergeCell ref="A6:J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 Manrique Losada</dc:creator>
  <cp:lastModifiedBy>Bell Manrique Losada</cp:lastModifiedBy>
  <dcterms:created xsi:type="dcterms:W3CDTF">2026-04-25T23:44:04Z</dcterms:created>
  <dcterms:modified xsi:type="dcterms:W3CDTF">2026-04-25T23:45:19Z</dcterms:modified>
</cp:coreProperties>
</file>